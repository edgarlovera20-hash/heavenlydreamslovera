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d6a3909b0a446a2/Desktop/"/>
    </mc:Choice>
  </mc:AlternateContent>
  <xr:revisionPtr revIDLastSave="45" documentId="14_{02BDD1BF-97D5-485A-8DFA-1C14B6C2B40B}" xr6:coauthVersionLast="47" xr6:coauthVersionMax="47" xr10:uidLastSave="{9543CA51-D091-4A14-A8F6-15EB31A5C08D}"/>
  <bookViews>
    <workbookView xWindow="-98" yWindow="-98" windowWidth="21795" windowHeight="13875" xr2:uid="{00000000-000D-0000-FFFF-FFFF00000000}"/>
  </bookViews>
  <sheets>
    <sheet name="Hoja1" sheetId="3" r:id="rId1"/>
    <sheet name="Hoja3" sheetId="5" r:id="rId2"/>
    <sheet name="Hoja2" sheetId="4" r:id="rId3"/>
    <sheet name="Servicios_Promotores" sheetId="1" r:id="rId4"/>
    <sheet name="Pago_GERE" sheetId="2" r:id="rId5"/>
  </sheets>
  <definedNames>
    <definedName name="_xlnm._FilterDatabase" localSheetId="0" hidden="1">Hoja1!$A$1:$W$563</definedName>
    <definedName name="_xlnm._FilterDatabase" localSheetId="1" hidden="1">Hoja3!$A$1:$D$558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4" i="3" l="1"/>
  <c r="G240" i="3"/>
  <c r="G241" i="3"/>
  <c r="G250" i="3"/>
  <c r="G255" i="3"/>
  <c r="G256" i="3"/>
  <c r="G32" i="3"/>
  <c r="G63" i="3"/>
  <c r="G166" i="3"/>
  <c r="G193" i="3"/>
  <c r="G194" i="3"/>
  <c r="G167" i="3"/>
  <c r="G183" i="3"/>
  <c r="G184" i="3"/>
  <c r="G156" i="3"/>
  <c r="G149" i="3"/>
  <c r="G195" i="3"/>
  <c r="G196" i="3"/>
  <c r="G54" i="3"/>
  <c r="G101" i="3"/>
  <c r="G39" i="3"/>
  <c r="G102" i="3"/>
  <c r="G40" i="3"/>
  <c r="G41" i="3"/>
  <c r="G10" i="3"/>
  <c r="G103" i="3"/>
  <c r="G42" i="3"/>
  <c r="G43" i="3"/>
  <c r="G104" i="3"/>
  <c r="G33" i="3"/>
  <c r="G11" i="3"/>
  <c r="G92" i="3"/>
  <c r="G25" i="3"/>
  <c r="G12" i="3"/>
  <c r="G114" i="3"/>
  <c r="G115" i="3"/>
  <c r="G551" i="3"/>
  <c r="G553" i="3"/>
  <c r="G555" i="3"/>
  <c r="G529" i="3"/>
  <c r="G506" i="3"/>
  <c r="G508" i="3"/>
  <c r="G422" i="3"/>
  <c r="G410" i="3"/>
  <c r="G418" i="3"/>
  <c r="G435" i="3"/>
  <c r="G411" i="3"/>
  <c r="G423" i="3"/>
  <c r="G412" i="3"/>
  <c r="G413" i="3"/>
  <c r="G424" i="3"/>
  <c r="G346" i="3"/>
  <c r="G348" i="3"/>
  <c r="G341" i="3"/>
  <c r="G342" i="3"/>
  <c r="G343" i="3"/>
  <c r="G338" i="3"/>
  <c r="G335" i="3"/>
  <c r="G334" i="3"/>
  <c r="G330" i="3"/>
  <c r="G286" i="3"/>
  <c r="G314" i="3"/>
  <c r="G315" i="3"/>
  <c r="G316" i="3"/>
  <c r="G287" i="3"/>
  <c r="G317" i="3"/>
  <c r="G277" i="3"/>
  <c r="G278" i="3"/>
  <c r="G64" i="3"/>
  <c r="G515" i="3"/>
  <c r="G44" i="3"/>
  <c r="G45" i="3"/>
  <c r="G46" i="3"/>
  <c r="G118" i="3"/>
  <c r="G119" i="3"/>
  <c r="G201" i="3"/>
  <c r="G116" i="3"/>
  <c r="G225" i="3"/>
  <c r="G198" i="3"/>
  <c r="G47" i="3"/>
  <c r="G202" i="3"/>
  <c r="G110" i="3"/>
  <c r="G111" i="3"/>
  <c r="G120" i="3"/>
  <c r="G226" i="3"/>
  <c r="G93" i="3"/>
  <c r="G123" i="3"/>
  <c r="G65" i="3"/>
  <c r="G371" i="3"/>
  <c r="G372" i="3"/>
  <c r="G66" i="3"/>
  <c r="G67" i="3"/>
  <c r="G350" i="3"/>
  <c r="G68" i="3"/>
  <c r="G69" i="3"/>
  <c r="G70" i="3"/>
  <c r="G139" i="3"/>
  <c r="G140" i="3"/>
  <c r="G71" i="3"/>
  <c r="G124" i="3"/>
  <c r="G125" i="3"/>
  <c r="G126" i="3"/>
  <c r="G127" i="3"/>
  <c r="G128" i="3"/>
  <c r="G129" i="3"/>
  <c r="G357" i="3"/>
  <c r="G130" i="3"/>
  <c r="G146" i="3"/>
  <c r="G147" i="3"/>
  <c r="G405" i="3"/>
  <c r="G373" i="3"/>
  <c r="G267" i="3"/>
  <c r="G257" i="3"/>
  <c r="G268" i="3"/>
  <c r="G263" i="3"/>
  <c r="G258" i="3"/>
  <c r="G259" i="3"/>
  <c r="G264" i="3"/>
  <c r="G269" i="3"/>
  <c r="G243" i="3"/>
  <c r="G260" i="3"/>
  <c r="G251" i="3"/>
  <c r="G205" i="3"/>
  <c r="G265" i="3"/>
  <c r="G381" i="3"/>
  <c r="G242" i="3"/>
  <c r="G266" i="3"/>
  <c r="G261" i="3"/>
  <c r="G34" i="3"/>
  <c r="G35" i="3"/>
  <c r="G72" i="3"/>
  <c r="G168" i="3"/>
  <c r="G157" i="3"/>
  <c r="G150" i="3"/>
  <c r="G169" i="3"/>
  <c r="G170" i="3"/>
  <c r="G158" i="3"/>
  <c r="G159" i="3"/>
  <c r="G171" i="3"/>
  <c r="G172" i="3"/>
  <c r="G173" i="3"/>
  <c r="G153" i="3"/>
  <c r="G151" i="3"/>
  <c r="G174" i="3"/>
  <c r="G160" i="3"/>
  <c r="G161" i="3"/>
  <c r="G152" i="3"/>
  <c r="G175" i="3"/>
  <c r="G162" i="3"/>
  <c r="G176" i="3"/>
  <c r="G185" i="3"/>
  <c r="G177" i="3"/>
  <c r="G178" i="3"/>
  <c r="G179" i="3"/>
  <c r="G180" i="3"/>
  <c r="G163" i="3"/>
  <c r="G186" i="3"/>
  <c r="G154" i="3"/>
  <c r="G187" i="3"/>
  <c r="G165" i="3"/>
  <c r="G73" i="3"/>
  <c r="G74" i="3"/>
  <c r="G105" i="3"/>
  <c r="G75" i="3"/>
  <c r="G55" i="3"/>
  <c r="G2" i="3"/>
  <c r="G3" i="3"/>
  <c r="G76" i="3"/>
  <c r="G56" i="3"/>
  <c r="G77" i="3"/>
  <c r="G36" i="3"/>
  <c r="G4" i="3"/>
  <c r="G57" i="3"/>
  <c r="G78" i="3"/>
  <c r="G79" i="3"/>
  <c r="G80" i="3"/>
  <c r="G37" i="3"/>
  <c r="G5" i="3"/>
  <c r="G94" i="3"/>
  <c r="G48" i="3"/>
  <c r="G6" i="3"/>
  <c r="G13" i="3"/>
  <c r="G49" i="3"/>
  <c r="G27" i="3"/>
  <c r="G14" i="3"/>
  <c r="G7" i="3"/>
  <c r="G106" i="3"/>
  <c r="G95" i="3"/>
  <c r="G8" i="3"/>
  <c r="G15" i="3"/>
  <c r="G16" i="3"/>
  <c r="G17" i="3"/>
  <c r="G18" i="3"/>
  <c r="G19" i="3"/>
  <c r="G58" i="3"/>
  <c r="G20" i="3"/>
  <c r="G59" i="3"/>
  <c r="G60" i="3"/>
  <c r="G21" i="3"/>
  <c r="G22" i="3"/>
  <c r="G38" i="3"/>
  <c r="G23" i="3"/>
  <c r="G107" i="3"/>
  <c r="G9" i="3"/>
  <c r="G96" i="3"/>
  <c r="G550" i="3"/>
  <c r="G61" i="3"/>
  <c r="G28" i="3"/>
  <c r="G538" i="3"/>
  <c r="G539" i="3"/>
  <c r="G540" i="3"/>
  <c r="G541" i="3"/>
  <c r="G227" i="3"/>
  <c r="G50" i="3"/>
  <c r="G228" i="3"/>
  <c r="G112" i="3"/>
  <c r="G557" i="3"/>
  <c r="G558" i="3"/>
  <c r="G525" i="3"/>
  <c r="G556" i="3"/>
  <c r="G554" i="3"/>
  <c r="G563" i="3"/>
  <c r="G533" i="3"/>
  <c r="G552" i="3"/>
  <c r="G535" i="3"/>
  <c r="G534" i="3"/>
  <c r="G527" i="3"/>
  <c r="G528" i="3"/>
  <c r="G514" i="3"/>
  <c r="G502" i="3"/>
  <c r="G526" i="3"/>
  <c r="G530" i="3"/>
  <c r="G507" i="3"/>
  <c r="G531" i="3"/>
  <c r="G509" i="3"/>
  <c r="G510" i="3"/>
  <c r="G503" i="3"/>
  <c r="G511" i="3"/>
  <c r="G425" i="3"/>
  <c r="G414" i="3"/>
  <c r="G504" i="3"/>
  <c r="G512" i="3"/>
  <c r="G513" i="3"/>
  <c r="G426" i="3"/>
  <c r="G436" i="3"/>
  <c r="G427" i="3"/>
  <c r="G500" i="3"/>
  <c r="G428" i="3"/>
  <c r="G429" i="3"/>
  <c r="G419" i="3"/>
  <c r="G415" i="3"/>
  <c r="G437" i="3"/>
  <c r="G416" i="3"/>
  <c r="G420" i="3"/>
  <c r="G430" i="3"/>
  <c r="G421" i="3"/>
  <c r="G339" i="3"/>
  <c r="G344" i="3"/>
  <c r="G345" i="3"/>
  <c r="G501" i="3"/>
  <c r="G349" i="3"/>
  <c r="G332" i="3"/>
  <c r="G327" i="3"/>
  <c r="G336" i="3"/>
  <c r="G328" i="3"/>
  <c r="G329" i="3"/>
  <c r="G323" i="3"/>
  <c r="G324" i="3"/>
  <c r="G325" i="3"/>
  <c r="G279" i="3"/>
  <c r="G326" i="3"/>
  <c r="G288" i="3"/>
  <c r="G280" i="3"/>
  <c r="G318" i="3"/>
  <c r="G289" i="3"/>
  <c r="G290" i="3"/>
  <c r="G281" i="3"/>
  <c r="G272" i="3"/>
  <c r="G282" i="3"/>
  <c r="G291" i="3"/>
  <c r="G273" i="3"/>
  <c r="G274" i="3"/>
  <c r="G319" i="3"/>
  <c r="G292" i="3"/>
  <c r="G320" i="3"/>
  <c r="G321" i="3"/>
  <c r="G322" i="3"/>
  <c r="G283" i="3"/>
  <c r="G293" i="3"/>
  <c r="G275" i="3"/>
  <c r="G276" i="3"/>
  <c r="G244" i="3"/>
  <c r="G294" i="3"/>
  <c r="G516" i="3"/>
  <c r="G517" i="3"/>
  <c r="G245" i="3"/>
  <c r="G246" i="3"/>
  <c r="G295" i="3"/>
  <c r="G438" i="3"/>
  <c r="G247" i="3"/>
  <c r="G439" i="3"/>
  <c r="G440" i="3"/>
  <c r="G51" i="3"/>
  <c r="G208" i="3"/>
  <c r="G203" i="3"/>
  <c r="G206" i="3"/>
  <c r="G207" i="3"/>
  <c r="G229" i="3"/>
  <c r="G441" i="3"/>
  <c r="G559" i="3"/>
  <c r="G395" i="3"/>
  <c r="G216" i="3"/>
  <c r="G217" i="3"/>
  <c r="G396" i="3"/>
  <c r="G542" i="3"/>
  <c r="G560" i="3"/>
  <c r="G218" i="3"/>
  <c r="G230" i="3"/>
  <c r="G224" i="3"/>
  <c r="G543" i="3"/>
  <c r="G219" i="3"/>
  <c r="G544" i="3"/>
  <c r="G397" i="3"/>
  <c r="G199" i="3"/>
  <c r="G200" i="3"/>
  <c r="G231" i="3"/>
  <c r="G561" i="3"/>
  <c r="G398" i="3"/>
  <c r="G296" i="3"/>
  <c r="G442" i="3"/>
  <c r="G545" i="3"/>
  <c r="G443" i="3"/>
  <c r="G232" i="3"/>
  <c r="G233" i="3"/>
  <c r="G248" i="3"/>
  <c r="G546" i="3"/>
  <c r="G547" i="3"/>
  <c r="G270" i="3"/>
  <c r="G197" i="3"/>
  <c r="G271" i="3"/>
  <c r="G562" i="3"/>
  <c r="G188" i="3"/>
  <c r="G234" i="3"/>
  <c r="G235" i="3"/>
  <c r="G236" i="3"/>
  <c r="G189" i="3"/>
  <c r="G399" i="3"/>
  <c r="G297" i="3"/>
  <c r="G249" i="3"/>
  <c r="G220" i="3"/>
  <c r="G298" i="3"/>
  <c r="G252" i="3"/>
  <c r="G548" i="3"/>
  <c r="G549" i="3"/>
  <c r="G221" i="3"/>
  <c r="G400" i="3"/>
  <c r="G299" i="3"/>
  <c r="G403" i="3"/>
  <c r="G401" i="3"/>
  <c r="G237" i="3"/>
  <c r="G537" i="3"/>
  <c r="G402" i="3"/>
  <c r="G238" i="3"/>
  <c r="G386" i="3"/>
  <c r="G387" i="3"/>
  <c r="G388" i="3"/>
  <c r="G366" i="3"/>
  <c r="G374" i="3"/>
  <c r="G351" i="3"/>
  <c r="G444" i="3"/>
  <c r="G431" i="3"/>
  <c r="G375" i="3"/>
  <c r="G376" i="3"/>
  <c r="G352" i="3"/>
  <c r="G353" i="3"/>
  <c r="G377" i="3"/>
  <c r="G141" i="3"/>
  <c r="G142" i="3"/>
  <c r="G81" i="3"/>
  <c r="G82" i="3"/>
  <c r="G83" i="3"/>
  <c r="G367" i="3"/>
  <c r="G389" i="3"/>
  <c r="G84" i="3"/>
  <c r="G85" i="3"/>
  <c r="G445" i="3"/>
  <c r="G86" i="3"/>
  <c r="G300" i="3"/>
  <c r="G87" i="3"/>
  <c r="G378" i="3"/>
  <c r="G88" i="3"/>
  <c r="G215" i="3"/>
  <c r="G89" i="3"/>
  <c r="G301" i="3"/>
  <c r="G446" i="3"/>
  <c r="G210" i="3"/>
  <c r="G394" i="3"/>
  <c r="G518" i="3"/>
  <c r="G519" i="3"/>
  <c r="G447" i="3"/>
  <c r="G211" i="3"/>
  <c r="G212" i="3"/>
  <c r="G213" i="3"/>
  <c r="G520" i="3"/>
  <c r="G521" i="3"/>
  <c r="G522" i="3"/>
  <c r="G214" i="3"/>
  <c r="G448" i="3"/>
  <c r="G302" i="3"/>
  <c r="G209" i="3"/>
  <c r="G523" i="3"/>
  <c r="G524" i="3"/>
  <c r="G204" i="3"/>
  <c r="G143" i="3"/>
  <c r="G449" i="3"/>
  <c r="G358" i="3"/>
  <c r="G359" i="3"/>
  <c r="G131" i="3"/>
  <c r="G450" i="3"/>
  <c r="G360" i="3"/>
  <c r="G361" i="3"/>
  <c r="G144" i="3"/>
  <c r="G382" i="3"/>
  <c r="G132" i="3"/>
  <c r="G368" i="3"/>
  <c r="G133" i="3"/>
  <c r="G134" i="3"/>
  <c r="G135" i="3"/>
  <c r="G362" i="3"/>
  <c r="G136" i="3"/>
  <c r="G148" i="3"/>
  <c r="G383" i="3"/>
  <c r="G404" i="3"/>
  <c r="G363" i="3"/>
  <c r="G384" i="3"/>
  <c r="G364" i="3"/>
  <c r="G451" i="3"/>
  <c r="G406" i="3"/>
  <c r="G390" i="3"/>
  <c r="G407" i="3"/>
  <c r="G408" i="3"/>
  <c r="G369" i="3"/>
  <c r="G370" i="3"/>
  <c r="G137" i="3"/>
  <c r="G385" i="3"/>
  <c r="G452" i="3"/>
  <c r="G391" i="3"/>
  <c r="G409" i="3"/>
  <c r="G453" i="3"/>
  <c r="G354" i="3"/>
  <c r="G454" i="3"/>
  <c r="G455" i="3"/>
  <c r="G392" i="3"/>
  <c r="G379" i="3"/>
  <c r="G355" i="3"/>
  <c r="G393" i="3"/>
  <c r="G356" i="3"/>
  <c r="G262" i="3"/>
  <c r="G253" i="3"/>
  <c r="G97" i="3"/>
  <c r="G181" i="3"/>
  <c r="G164" i="3"/>
  <c r="G190" i="3"/>
  <c r="G191" i="3"/>
  <c r="G155" i="3"/>
  <c r="G192" i="3"/>
  <c r="G182" i="3"/>
  <c r="G98" i="3"/>
  <c r="G29" i="3"/>
  <c r="G108" i="3"/>
  <c r="G99" i="3"/>
  <c r="G109" i="3"/>
  <c r="G100" i="3"/>
  <c r="G24" i="3"/>
  <c r="G30" i="3"/>
  <c r="G26" i="3"/>
  <c r="G31" i="3"/>
  <c r="G62" i="3"/>
  <c r="G222" i="3"/>
  <c r="G223" i="3"/>
  <c r="G536" i="3"/>
  <c r="G532" i="3"/>
  <c r="G505" i="3"/>
  <c r="G417" i="3"/>
  <c r="G456" i="3"/>
  <c r="G347" i="3"/>
  <c r="G340" i="3"/>
  <c r="G337" i="3"/>
  <c r="G331" i="3"/>
  <c r="G333" i="3"/>
  <c r="G303" i="3"/>
  <c r="G284" i="3"/>
  <c r="G285" i="3"/>
  <c r="G52" i="3"/>
  <c r="G53" i="3"/>
  <c r="G239" i="3"/>
  <c r="G121" i="3"/>
  <c r="G122" i="3"/>
  <c r="G113" i="3"/>
  <c r="G117" i="3"/>
  <c r="G90" i="3"/>
  <c r="G380" i="3"/>
  <c r="G91" i="3"/>
  <c r="G365" i="3"/>
  <c r="G138" i="3"/>
  <c r="G145" i="3"/>
  <c r="F254" i="3"/>
  <c r="F240" i="3"/>
  <c r="F241" i="3"/>
  <c r="F250" i="3"/>
  <c r="F255" i="3"/>
  <c r="F256" i="3"/>
  <c r="F32" i="3"/>
  <c r="F63" i="3"/>
  <c r="F166" i="3"/>
  <c r="F193" i="3"/>
  <c r="F194" i="3"/>
  <c r="F167" i="3"/>
  <c r="F183" i="3"/>
  <c r="F184" i="3"/>
  <c r="F156" i="3"/>
  <c r="F149" i="3"/>
  <c r="F195" i="3"/>
  <c r="F196" i="3"/>
  <c r="F54" i="3"/>
  <c r="F101" i="3"/>
  <c r="F39" i="3"/>
  <c r="F102" i="3"/>
  <c r="F40" i="3"/>
  <c r="F41" i="3"/>
  <c r="F10" i="3"/>
  <c r="F103" i="3"/>
  <c r="F42" i="3"/>
  <c r="F43" i="3"/>
  <c r="F104" i="3"/>
  <c r="F33" i="3"/>
  <c r="F11" i="3"/>
  <c r="F92" i="3"/>
  <c r="F25" i="3"/>
  <c r="F12" i="3"/>
  <c r="F114" i="3"/>
  <c r="F115" i="3"/>
  <c r="F551" i="3"/>
  <c r="F553" i="3"/>
  <c r="F555" i="3"/>
  <c r="F529" i="3"/>
  <c r="F506" i="3"/>
  <c r="F508" i="3"/>
  <c r="F422" i="3"/>
  <c r="F410" i="3"/>
  <c r="F418" i="3"/>
  <c r="F435" i="3"/>
  <c r="F411" i="3"/>
  <c r="F423" i="3"/>
  <c r="F412" i="3"/>
  <c r="F413" i="3"/>
  <c r="F424" i="3"/>
  <c r="F346" i="3"/>
  <c r="F348" i="3"/>
  <c r="F341" i="3"/>
  <c r="F342" i="3"/>
  <c r="F343" i="3"/>
  <c r="F338" i="3"/>
  <c r="F335" i="3"/>
  <c r="F334" i="3"/>
  <c r="F330" i="3"/>
  <c r="F286" i="3"/>
  <c r="F314" i="3"/>
  <c r="F315" i="3"/>
  <c r="F316" i="3"/>
  <c r="F287" i="3"/>
  <c r="F317" i="3"/>
  <c r="F277" i="3"/>
  <c r="F278" i="3"/>
  <c r="F64" i="3"/>
  <c r="F515" i="3"/>
  <c r="F457" i="3"/>
  <c r="F44" i="3"/>
  <c r="F458" i="3"/>
  <c r="F304" i="3"/>
  <c r="F459" i="3"/>
  <c r="F45" i="3"/>
  <c r="F46" i="3"/>
  <c r="F118" i="3"/>
  <c r="F119" i="3"/>
  <c r="F460" i="3"/>
  <c r="F201" i="3"/>
  <c r="F116" i="3"/>
  <c r="F225" i="3"/>
  <c r="F198" i="3"/>
  <c r="F461" i="3"/>
  <c r="F462" i="3"/>
  <c r="F47" i="3"/>
  <c r="F202" i="3"/>
  <c r="F110" i="3"/>
  <c r="F111" i="3"/>
  <c r="F305" i="3"/>
  <c r="F120" i="3"/>
  <c r="F226" i="3"/>
  <c r="F306" i="3"/>
  <c r="F93" i="3"/>
  <c r="F123" i="3"/>
  <c r="F65" i="3"/>
  <c r="F463" i="3"/>
  <c r="F464" i="3"/>
  <c r="F465" i="3"/>
  <c r="F466" i="3"/>
  <c r="F371" i="3"/>
  <c r="F307" i="3"/>
  <c r="F372" i="3"/>
  <c r="F66" i="3"/>
  <c r="F67" i="3"/>
  <c r="F350" i="3"/>
  <c r="F68" i="3"/>
  <c r="F69" i="3"/>
  <c r="F467" i="3"/>
  <c r="F468" i="3"/>
  <c r="F70" i="3"/>
  <c r="F139" i="3"/>
  <c r="F308" i="3"/>
  <c r="F469" i="3"/>
  <c r="F140" i="3"/>
  <c r="F470" i="3"/>
  <c r="F71" i="3"/>
  <c r="F309" i="3"/>
  <c r="F471" i="3"/>
  <c r="F472" i="3"/>
  <c r="F432" i="3"/>
  <c r="F124" i="3"/>
  <c r="F125" i="3"/>
  <c r="F126" i="3"/>
  <c r="F127" i="3"/>
  <c r="F128" i="3"/>
  <c r="F473" i="3"/>
  <c r="F129" i="3"/>
  <c r="F474" i="3"/>
  <c r="F357" i="3"/>
  <c r="F130" i="3"/>
  <c r="F433" i="3"/>
  <c r="F146" i="3"/>
  <c r="F147" i="3"/>
  <c r="F405" i="3"/>
  <c r="F475" i="3"/>
  <c r="F476" i="3"/>
  <c r="F477" i="3"/>
  <c r="F373" i="3"/>
  <c r="F267" i="3"/>
  <c r="F257" i="3"/>
  <c r="F268" i="3"/>
  <c r="F263" i="3"/>
  <c r="F258" i="3"/>
  <c r="F259" i="3"/>
  <c r="F264" i="3"/>
  <c r="F269" i="3"/>
  <c r="F243" i="3"/>
  <c r="F260" i="3"/>
  <c r="F251" i="3"/>
  <c r="F205" i="3"/>
  <c r="F265" i="3"/>
  <c r="F381" i="3"/>
  <c r="F242" i="3"/>
  <c r="F266" i="3"/>
  <c r="F261" i="3"/>
  <c r="F34" i="3"/>
  <c r="F35" i="3"/>
  <c r="F72" i="3"/>
  <c r="F168" i="3"/>
  <c r="F157" i="3"/>
  <c r="F150" i="3"/>
  <c r="F169" i="3"/>
  <c r="F170" i="3"/>
  <c r="F158" i="3"/>
  <c r="F159" i="3"/>
  <c r="F171" i="3"/>
  <c r="F172" i="3"/>
  <c r="F173" i="3"/>
  <c r="F153" i="3"/>
  <c r="F151" i="3"/>
  <c r="F174" i="3"/>
  <c r="F160" i="3"/>
  <c r="F161" i="3"/>
  <c r="F152" i="3"/>
  <c r="F175" i="3"/>
  <c r="F162" i="3"/>
  <c r="F176" i="3"/>
  <c r="F185" i="3"/>
  <c r="F177" i="3"/>
  <c r="F178" i="3"/>
  <c r="F179" i="3"/>
  <c r="F180" i="3"/>
  <c r="F163" i="3"/>
  <c r="F186" i="3"/>
  <c r="F154" i="3"/>
  <c r="F187" i="3"/>
  <c r="F165" i="3"/>
  <c r="F73" i="3"/>
  <c r="F74" i="3"/>
  <c r="F105" i="3"/>
  <c r="F75" i="3"/>
  <c r="F55" i="3"/>
  <c r="F2" i="3"/>
  <c r="F3" i="3"/>
  <c r="F76" i="3"/>
  <c r="F56" i="3"/>
  <c r="F77" i="3"/>
  <c r="F36" i="3"/>
  <c r="F4" i="3"/>
  <c r="F57" i="3"/>
  <c r="F78" i="3"/>
  <c r="F79" i="3"/>
  <c r="F80" i="3"/>
  <c r="F37" i="3"/>
  <c r="F5" i="3"/>
  <c r="F94" i="3"/>
  <c r="F48" i="3"/>
  <c r="F6" i="3"/>
  <c r="F13" i="3"/>
  <c r="F49" i="3"/>
  <c r="F27" i="3"/>
  <c r="F14" i="3"/>
  <c r="F7" i="3"/>
  <c r="F106" i="3"/>
  <c r="F95" i="3"/>
  <c r="F8" i="3"/>
  <c r="F15" i="3"/>
  <c r="F16" i="3"/>
  <c r="F17" i="3"/>
  <c r="F18" i="3"/>
  <c r="F19" i="3"/>
  <c r="F58" i="3"/>
  <c r="F20" i="3"/>
  <c r="F59" i="3"/>
  <c r="F60" i="3"/>
  <c r="F21" i="3"/>
  <c r="F22" i="3"/>
  <c r="F38" i="3"/>
  <c r="F23" i="3"/>
  <c r="F107" i="3"/>
  <c r="F9" i="3"/>
  <c r="F96" i="3"/>
  <c r="F550" i="3"/>
  <c r="F61" i="3"/>
  <c r="F28" i="3"/>
  <c r="F538" i="3"/>
  <c r="F539" i="3"/>
  <c r="F540" i="3"/>
  <c r="F541" i="3"/>
  <c r="F227" i="3"/>
  <c r="F50" i="3"/>
  <c r="F228" i="3"/>
  <c r="F310" i="3"/>
  <c r="F112" i="3"/>
  <c r="F557" i="3"/>
  <c r="F558" i="3"/>
  <c r="F525" i="3"/>
  <c r="F556" i="3"/>
  <c r="F554" i="3"/>
  <c r="F563" i="3"/>
  <c r="F533" i="3"/>
  <c r="F552" i="3"/>
  <c r="F535" i="3"/>
  <c r="F534" i="3"/>
  <c r="F527" i="3"/>
  <c r="F528" i="3"/>
  <c r="F514" i="3"/>
  <c r="F502" i="3"/>
  <c r="F526" i="3"/>
  <c r="F530" i="3"/>
  <c r="F507" i="3"/>
  <c r="F531" i="3"/>
  <c r="F509" i="3"/>
  <c r="F510" i="3"/>
  <c r="F503" i="3"/>
  <c r="F511" i="3"/>
  <c r="F425" i="3"/>
  <c r="F414" i="3"/>
  <c r="F504" i="3"/>
  <c r="F512" i="3"/>
  <c r="F513" i="3"/>
  <c r="F426" i="3"/>
  <c r="F436" i="3"/>
  <c r="F427" i="3"/>
  <c r="F500" i="3"/>
  <c r="F428" i="3"/>
  <c r="F429" i="3"/>
  <c r="F419" i="3"/>
  <c r="F415" i="3"/>
  <c r="F437" i="3"/>
  <c r="F416" i="3"/>
  <c r="F420" i="3"/>
  <c r="F430" i="3"/>
  <c r="F421" i="3"/>
  <c r="F339" i="3"/>
  <c r="F344" i="3"/>
  <c r="F345" i="3"/>
  <c r="F501" i="3"/>
  <c r="F349" i="3"/>
  <c r="F332" i="3"/>
  <c r="F327" i="3"/>
  <c r="F336" i="3"/>
  <c r="F328" i="3"/>
  <c r="F329" i="3"/>
  <c r="F323" i="3"/>
  <c r="F324" i="3"/>
  <c r="F325" i="3"/>
  <c r="F279" i="3"/>
  <c r="F326" i="3"/>
  <c r="F288" i="3"/>
  <c r="F280" i="3"/>
  <c r="F318" i="3"/>
  <c r="F289" i="3"/>
  <c r="F290" i="3"/>
  <c r="F281" i="3"/>
  <c r="F272" i="3"/>
  <c r="F282" i="3"/>
  <c r="F291" i="3"/>
  <c r="F273" i="3"/>
  <c r="F274" i="3"/>
  <c r="F319" i="3"/>
  <c r="F292" i="3"/>
  <c r="F320" i="3"/>
  <c r="F321" i="3"/>
  <c r="F322" i="3"/>
  <c r="F283" i="3"/>
  <c r="F293" i="3"/>
  <c r="F275" i="3"/>
  <c r="F276" i="3"/>
  <c r="F244" i="3"/>
  <c r="F294" i="3"/>
  <c r="F516" i="3"/>
  <c r="F517" i="3"/>
  <c r="F245" i="3"/>
  <c r="F246" i="3"/>
  <c r="F295" i="3"/>
  <c r="F438" i="3"/>
  <c r="F247" i="3"/>
  <c r="F439" i="3"/>
  <c r="F440" i="3"/>
  <c r="F51" i="3"/>
  <c r="F208" i="3"/>
  <c r="F203" i="3"/>
  <c r="F206" i="3"/>
  <c r="F207" i="3"/>
  <c r="F229" i="3"/>
  <c r="F441" i="3"/>
  <c r="F559" i="3"/>
  <c r="F395" i="3"/>
  <c r="F216" i="3"/>
  <c r="F217" i="3"/>
  <c r="F396" i="3"/>
  <c r="F542" i="3"/>
  <c r="F560" i="3"/>
  <c r="F218" i="3"/>
  <c r="F230" i="3"/>
  <c r="F224" i="3"/>
  <c r="F543" i="3"/>
  <c r="F219" i="3"/>
  <c r="F544" i="3"/>
  <c r="F397" i="3"/>
  <c r="F199" i="3"/>
  <c r="F200" i="3"/>
  <c r="F231" i="3"/>
  <c r="F561" i="3"/>
  <c r="F398" i="3"/>
  <c r="F296" i="3"/>
  <c r="F442" i="3"/>
  <c r="F545" i="3"/>
  <c r="F443" i="3"/>
  <c r="F232" i="3"/>
  <c r="F233" i="3"/>
  <c r="F248" i="3"/>
  <c r="F546" i="3"/>
  <c r="F547" i="3"/>
  <c r="F270" i="3"/>
  <c r="F197" i="3"/>
  <c r="F271" i="3"/>
  <c r="F562" i="3"/>
  <c r="F188" i="3"/>
  <c r="F234" i="3"/>
  <c r="F235" i="3"/>
  <c r="F236" i="3"/>
  <c r="F189" i="3"/>
  <c r="F399" i="3"/>
  <c r="F297" i="3"/>
  <c r="F249" i="3"/>
  <c r="F220" i="3"/>
  <c r="F298" i="3"/>
  <c r="F252" i="3"/>
  <c r="F548" i="3"/>
  <c r="F549" i="3"/>
  <c r="F221" i="3"/>
  <c r="F400" i="3"/>
  <c r="F299" i="3"/>
  <c r="F403" i="3"/>
  <c r="F401" i="3"/>
  <c r="F237" i="3"/>
  <c r="F537" i="3"/>
  <c r="F402" i="3"/>
  <c r="F238" i="3"/>
  <c r="F386" i="3"/>
  <c r="F387" i="3"/>
  <c r="F388" i="3"/>
  <c r="F366" i="3"/>
  <c r="F374" i="3"/>
  <c r="F351" i="3"/>
  <c r="F444" i="3"/>
  <c r="F431" i="3"/>
  <c r="F375" i="3"/>
  <c r="F376" i="3"/>
  <c r="F352" i="3"/>
  <c r="F353" i="3"/>
  <c r="F377" i="3"/>
  <c r="F141" i="3"/>
  <c r="F142" i="3"/>
  <c r="F81" i="3"/>
  <c r="F82" i="3"/>
  <c r="F478" i="3"/>
  <c r="F83" i="3"/>
  <c r="F367" i="3"/>
  <c r="F389" i="3"/>
  <c r="F84" i="3"/>
  <c r="F85" i="3"/>
  <c r="F445" i="3"/>
  <c r="F86" i="3"/>
  <c r="F300" i="3"/>
  <c r="F87" i="3"/>
  <c r="F378" i="3"/>
  <c r="F88" i="3"/>
  <c r="F215" i="3"/>
  <c r="F89" i="3"/>
  <c r="F301" i="3"/>
  <c r="F446" i="3"/>
  <c r="F210" i="3"/>
  <c r="F394" i="3"/>
  <c r="F518" i="3"/>
  <c r="F519" i="3"/>
  <c r="F447" i="3"/>
  <c r="F211" i="3"/>
  <c r="F212" i="3"/>
  <c r="F213" i="3"/>
  <c r="F520" i="3"/>
  <c r="F521" i="3"/>
  <c r="F479" i="3"/>
  <c r="F522" i="3"/>
  <c r="F214" i="3"/>
  <c r="F448" i="3"/>
  <c r="F302" i="3"/>
  <c r="F480" i="3"/>
  <c r="F209" i="3"/>
  <c r="F523" i="3"/>
  <c r="F524" i="3"/>
  <c r="F204" i="3"/>
  <c r="F143" i="3"/>
  <c r="F449" i="3"/>
  <c r="F358" i="3"/>
  <c r="F359" i="3"/>
  <c r="F481" i="3"/>
  <c r="F131" i="3"/>
  <c r="F482" i="3"/>
  <c r="F450" i="3"/>
  <c r="F360" i="3"/>
  <c r="F361" i="3"/>
  <c r="F483" i="3"/>
  <c r="F144" i="3"/>
  <c r="F382" i="3"/>
  <c r="F484" i="3"/>
  <c r="F132" i="3"/>
  <c r="F368" i="3"/>
  <c r="F133" i="3"/>
  <c r="F485" i="3"/>
  <c r="F486" i="3"/>
  <c r="F134" i="3"/>
  <c r="F135" i="3"/>
  <c r="F362" i="3"/>
  <c r="F136" i="3"/>
  <c r="F487" i="3"/>
  <c r="F488" i="3"/>
  <c r="F148" i="3"/>
  <c r="F434" i="3"/>
  <c r="F489" i="3"/>
  <c r="F383" i="3"/>
  <c r="F404" i="3"/>
  <c r="F363" i="3"/>
  <c r="F384" i="3"/>
  <c r="F364" i="3"/>
  <c r="F451" i="3"/>
  <c r="F406" i="3"/>
  <c r="F390" i="3"/>
  <c r="F407" i="3"/>
  <c r="F408" i="3"/>
  <c r="F369" i="3"/>
  <c r="F370" i="3"/>
  <c r="F137" i="3"/>
  <c r="F385" i="3"/>
  <c r="F452" i="3"/>
  <c r="F391" i="3"/>
  <c r="F409" i="3"/>
  <c r="F453" i="3"/>
  <c r="F354" i="3"/>
  <c r="F454" i="3"/>
  <c r="F455" i="3"/>
  <c r="F392" i="3"/>
  <c r="F379" i="3"/>
  <c r="F355" i="3"/>
  <c r="F393" i="3"/>
  <c r="F356" i="3"/>
  <c r="F262" i="3"/>
  <c r="F253" i="3"/>
  <c r="F97" i="3"/>
  <c r="F181" i="3"/>
  <c r="F164" i="3"/>
  <c r="F190" i="3"/>
  <c r="F191" i="3"/>
  <c r="F155" i="3"/>
  <c r="F192" i="3"/>
  <c r="F182" i="3"/>
  <c r="F98" i="3"/>
  <c r="F29" i="3"/>
  <c r="F108" i="3"/>
  <c r="F99" i="3"/>
  <c r="F109" i="3"/>
  <c r="F100" i="3"/>
  <c r="F24" i="3"/>
  <c r="F30" i="3"/>
  <c r="F26" i="3"/>
  <c r="F31" i="3"/>
  <c r="F62" i="3"/>
  <c r="F222" i="3"/>
  <c r="F223" i="3"/>
  <c r="F536" i="3"/>
  <c r="F532" i="3"/>
  <c r="F505" i="3"/>
  <c r="F417" i="3"/>
  <c r="F456" i="3"/>
  <c r="F347" i="3"/>
  <c r="F340" i="3"/>
  <c r="F337" i="3"/>
  <c r="F331" i="3"/>
  <c r="F333" i="3"/>
  <c r="F303" i="3"/>
  <c r="F284" i="3"/>
  <c r="F285" i="3"/>
  <c r="F52" i="3"/>
  <c r="F53" i="3"/>
  <c r="F311" i="3"/>
  <c r="F239" i="3"/>
  <c r="F121" i="3"/>
  <c r="F490" i="3"/>
  <c r="F491" i="3"/>
  <c r="F122" i="3"/>
  <c r="F113" i="3"/>
  <c r="F117" i="3"/>
  <c r="F312" i="3"/>
  <c r="F492" i="3"/>
  <c r="F90" i="3"/>
  <c r="F313" i="3"/>
  <c r="F380" i="3"/>
  <c r="F91" i="3"/>
  <c r="F493" i="3"/>
  <c r="F494" i="3"/>
  <c r="F495" i="3"/>
  <c r="F496" i="3"/>
  <c r="F497" i="3"/>
  <c r="F498" i="3"/>
  <c r="F365" i="3"/>
  <c r="F138" i="3"/>
  <c r="F145" i="3"/>
  <c r="F499" i="3"/>
  <c r="E254" i="3"/>
  <c r="E240" i="3"/>
  <c r="E241" i="3"/>
  <c r="E250" i="3"/>
  <c r="E255" i="3"/>
  <c r="E256" i="3"/>
  <c r="E32" i="3"/>
  <c r="E63" i="3"/>
  <c r="E166" i="3"/>
  <c r="E193" i="3"/>
  <c r="E194" i="3"/>
  <c r="E167" i="3"/>
  <c r="E183" i="3"/>
  <c r="E184" i="3"/>
  <c r="E156" i="3"/>
  <c r="E149" i="3"/>
  <c r="E195" i="3"/>
  <c r="E196" i="3"/>
  <c r="E54" i="3"/>
  <c r="E101" i="3"/>
  <c r="E39" i="3"/>
  <c r="E102" i="3"/>
  <c r="E40" i="3"/>
  <c r="E41" i="3"/>
  <c r="E10" i="3"/>
  <c r="E103" i="3"/>
  <c r="E42" i="3"/>
  <c r="E43" i="3"/>
  <c r="E104" i="3"/>
  <c r="E33" i="3"/>
  <c r="E11" i="3"/>
  <c r="E92" i="3"/>
  <c r="E25" i="3"/>
  <c r="E12" i="3"/>
  <c r="E114" i="3"/>
  <c r="E115" i="3"/>
  <c r="E551" i="3"/>
  <c r="E553" i="3"/>
  <c r="E555" i="3"/>
  <c r="E529" i="3"/>
  <c r="E506" i="3"/>
  <c r="E508" i="3"/>
  <c r="E422" i="3"/>
  <c r="E410" i="3"/>
  <c r="E418" i="3"/>
  <c r="E435" i="3"/>
  <c r="E411" i="3"/>
  <c r="E423" i="3"/>
  <c r="E412" i="3"/>
  <c r="E413" i="3"/>
  <c r="E424" i="3"/>
  <c r="E346" i="3"/>
  <c r="E348" i="3"/>
  <c r="E341" i="3"/>
  <c r="E342" i="3"/>
  <c r="E343" i="3"/>
  <c r="E338" i="3"/>
  <c r="E335" i="3"/>
  <c r="E334" i="3"/>
  <c r="E330" i="3"/>
  <c r="E286" i="3"/>
  <c r="E314" i="3"/>
  <c r="E315" i="3"/>
  <c r="E316" i="3"/>
  <c r="E287" i="3"/>
  <c r="E317" i="3"/>
  <c r="E277" i="3"/>
  <c r="E278" i="3"/>
  <c r="E64" i="3"/>
  <c r="E515" i="3"/>
  <c r="E457" i="3"/>
  <c r="E44" i="3"/>
  <c r="E458" i="3"/>
  <c r="E304" i="3"/>
  <c r="E459" i="3"/>
  <c r="E45" i="3"/>
  <c r="E46" i="3"/>
  <c r="E118" i="3"/>
  <c r="E119" i="3"/>
  <c r="E460" i="3"/>
  <c r="E201" i="3"/>
  <c r="E116" i="3"/>
  <c r="E225" i="3"/>
  <c r="E198" i="3"/>
  <c r="E461" i="3"/>
  <c r="E462" i="3"/>
  <c r="E47" i="3"/>
  <c r="E202" i="3"/>
  <c r="E110" i="3"/>
  <c r="E111" i="3"/>
  <c r="E305" i="3"/>
  <c r="E120" i="3"/>
  <c r="E226" i="3"/>
  <c r="E306" i="3"/>
  <c r="E93" i="3"/>
  <c r="E123" i="3"/>
  <c r="E65" i="3"/>
  <c r="E463" i="3"/>
  <c r="E464" i="3"/>
  <c r="E465" i="3"/>
  <c r="E466" i="3"/>
  <c r="E371" i="3"/>
  <c r="E307" i="3"/>
  <c r="E372" i="3"/>
  <c r="E66" i="3"/>
  <c r="E67" i="3"/>
  <c r="E350" i="3"/>
  <c r="E68" i="3"/>
  <c r="E69" i="3"/>
  <c r="E467" i="3"/>
  <c r="E468" i="3"/>
  <c r="E70" i="3"/>
  <c r="E139" i="3"/>
  <c r="E308" i="3"/>
  <c r="E469" i="3"/>
  <c r="E140" i="3"/>
  <c r="E470" i="3"/>
  <c r="E71" i="3"/>
  <c r="E309" i="3"/>
  <c r="E471" i="3"/>
  <c r="E472" i="3"/>
  <c r="E432" i="3"/>
  <c r="E124" i="3"/>
  <c r="E125" i="3"/>
  <c r="E126" i="3"/>
  <c r="E127" i="3"/>
  <c r="E128" i="3"/>
  <c r="E473" i="3"/>
  <c r="E129" i="3"/>
  <c r="E474" i="3"/>
  <c r="E357" i="3"/>
  <c r="E130" i="3"/>
  <c r="E433" i="3"/>
  <c r="E146" i="3"/>
  <c r="E147" i="3"/>
  <c r="E405" i="3"/>
  <c r="E475" i="3"/>
  <c r="E476" i="3"/>
  <c r="E477" i="3"/>
  <c r="E373" i="3"/>
  <c r="E267" i="3"/>
  <c r="E257" i="3"/>
  <c r="E268" i="3"/>
  <c r="E263" i="3"/>
  <c r="E258" i="3"/>
  <c r="E259" i="3"/>
  <c r="E264" i="3"/>
  <c r="E269" i="3"/>
  <c r="E243" i="3"/>
  <c r="E260" i="3"/>
  <c r="E251" i="3"/>
  <c r="E205" i="3"/>
  <c r="E265" i="3"/>
  <c r="E381" i="3"/>
  <c r="E242" i="3"/>
  <c r="E266" i="3"/>
  <c r="E261" i="3"/>
  <c r="E34" i="3"/>
  <c r="E35" i="3"/>
  <c r="E72" i="3"/>
  <c r="E168" i="3"/>
  <c r="E157" i="3"/>
  <c r="E150" i="3"/>
  <c r="E169" i="3"/>
  <c r="E170" i="3"/>
  <c r="E158" i="3"/>
  <c r="E159" i="3"/>
  <c r="E171" i="3"/>
  <c r="E172" i="3"/>
  <c r="E173" i="3"/>
  <c r="E153" i="3"/>
  <c r="E151" i="3"/>
  <c r="E174" i="3"/>
  <c r="E160" i="3"/>
  <c r="E161" i="3"/>
  <c r="E152" i="3"/>
  <c r="E175" i="3"/>
  <c r="E162" i="3"/>
  <c r="E176" i="3"/>
  <c r="E185" i="3"/>
  <c r="E177" i="3"/>
  <c r="E178" i="3"/>
  <c r="E179" i="3"/>
  <c r="E180" i="3"/>
  <c r="E163" i="3"/>
  <c r="E186" i="3"/>
  <c r="E154" i="3"/>
  <c r="E187" i="3"/>
  <c r="E165" i="3"/>
  <c r="E73" i="3"/>
  <c r="E74" i="3"/>
  <c r="E105" i="3"/>
  <c r="E75" i="3"/>
  <c r="E55" i="3"/>
  <c r="E2" i="3"/>
  <c r="E3" i="3"/>
  <c r="E76" i="3"/>
  <c r="E56" i="3"/>
  <c r="E77" i="3"/>
  <c r="E36" i="3"/>
  <c r="E4" i="3"/>
  <c r="E57" i="3"/>
  <c r="E78" i="3"/>
  <c r="E79" i="3"/>
  <c r="E80" i="3"/>
  <c r="E37" i="3"/>
  <c r="E5" i="3"/>
  <c r="E94" i="3"/>
  <c r="E48" i="3"/>
  <c r="E6" i="3"/>
  <c r="E13" i="3"/>
  <c r="E49" i="3"/>
  <c r="E27" i="3"/>
  <c r="E14" i="3"/>
  <c r="E7" i="3"/>
  <c r="E106" i="3"/>
  <c r="E95" i="3"/>
  <c r="E8" i="3"/>
  <c r="E15" i="3"/>
  <c r="E16" i="3"/>
  <c r="E17" i="3"/>
  <c r="E18" i="3"/>
  <c r="E19" i="3"/>
  <c r="E58" i="3"/>
  <c r="E20" i="3"/>
  <c r="E59" i="3"/>
  <c r="E60" i="3"/>
  <c r="E21" i="3"/>
  <c r="E22" i="3"/>
  <c r="E38" i="3"/>
  <c r="E23" i="3"/>
  <c r="E107" i="3"/>
  <c r="E9" i="3"/>
  <c r="E96" i="3"/>
  <c r="E550" i="3"/>
  <c r="E61" i="3"/>
  <c r="E28" i="3"/>
  <c r="E538" i="3"/>
  <c r="E539" i="3"/>
  <c r="E540" i="3"/>
  <c r="E541" i="3"/>
  <c r="E227" i="3"/>
  <c r="E50" i="3"/>
  <c r="E228" i="3"/>
  <c r="E310" i="3"/>
  <c r="E112" i="3"/>
  <c r="E557" i="3"/>
  <c r="E558" i="3"/>
  <c r="E525" i="3"/>
  <c r="E556" i="3"/>
  <c r="E554" i="3"/>
  <c r="E563" i="3"/>
  <c r="E533" i="3"/>
  <c r="E552" i="3"/>
  <c r="E535" i="3"/>
  <c r="E534" i="3"/>
  <c r="E527" i="3"/>
  <c r="E528" i="3"/>
  <c r="E514" i="3"/>
  <c r="E502" i="3"/>
  <c r="E526" i="3"/>
  <c r="E530" i="3"/>
  <c r="E507" i="3"/>
  <c r="E531" i="3"/>
  <c r="E509" i="3"/>
  <c r="E510" i="3"/>
  <c r="E503" i="3"/>
  <c r="E511" i="3"/>
  <c r="E425" i="3"/>
  <c r="E414" i="3"/>
  <c r="E504" i="3"/>
  <c r="E512" i="3"/>
  <c r="E513" i="3"/>
  <c r="E426" i="3"/>
  <c r="E436" i="3"/>
  <c r="E427" i="3"/>
  <c r="E500" i="3"/>
  <c r="E428" i="3"/>
  <c r="E429" i="3"/>
  <c r="E419" i="3"/>
  <c r="E415" i="3"/>
  <c r="E437" i="3"/>
  <c r="E416" i="3"/>
  <c r="E420" i="3"/>
  <c r="E430" i="3"/>
  <c r="E421" i="3"/>
  <c r="E339" i="3"/>
  <c r="E344" i="3"/>
  <c r="E345" i="3"/>
  <c r="E501" i="3"/>
  <c r="E349" i="3"/>
  <c r="E332" i="3"/>
  <c r="E327" i="3"/>
  <c r="E336" i="3"/>
  <c r="E328" i="3"/>
  <c r="E329" i="3"/>
  <c r="E323" i="3"/>
  <c r="E324" i="3"/>
  <c r="E325" i="3"/>
  <c r="E279" i="3"/>
  <c r="E326" i="3"/>
  <c r="E288" i="3"/>
  <c r="E280" i="3"/>
  <c r="E318" i="3"/>
  <c r="E289" i="3"/>
  <c r="E290" i="3"/>
  <c r="E281" i="3"/>
  <c r="E272" i="3"/>
  <c r="E282" i="3"/>
  <c r="E291" i="3"/>
  <c r="E273" i="3"/>
  <c r="E274" i="3"/>
  <c r="E319" i="3"/>
  <c r="E292" i="3"/>
  <c r="E320" i="3"/>
  <c r="E321" i="3"/>
  <c r="E322" i="3"/>
  <c r="E283" i="3"/>
  <c r="E293" i="3"/>
  <c r="E275" i="3"/>
  <c r="E276" i="3"/>
  <c r="E244" i="3"/>
  <c r="E294" i="3"/>
  <c r="E516" i="3"/>
  <c r="E517" i="3"/>
  <c r="E245" i="3"/>
  <c r="E246" i="3"/>
  <c r="E295" i="3"/>
  <c r="E438" i="3"/>
  <c r="E247" i="3"/>
  <c r="E439" i="3"/>
  <c r="E440" i="3"/>
  <c r="E51" i="3"/>
  <c r="E208" i="3"/>
  <c r="E203" i="3"/>
  <c r="E206" i="3"/>
  <c r="E207" i="3"/>
  <c r="E229" i="3"/>
  <c r="E441" i="3"/>
  <c r="E559" i="3"/>
  <c r="E395" i="3"/>
  <c r="E216" i="3"/>
  <c r="E217" i="3"/>
  <c r="E396" i="3"/>
  <c r="E542" i="3"/>
  <c r="E560" i="3"/>
  <c r="E218" i="3"/>
  <c r="E230" i="3"/>
  <c r="E224" i="3"/>
  <c r="E543" i="3"/>
  <c r="E219" i="3"/>
  <c r="E544" i="3"/>
  <c r="E397" i="3"/>
  <c r="E199" i="3"/>
  <c r="E200" i="3"/>
  <c r="E231" i="3"/>
  <c r="E561" i="3"/>
  <c r="E398" i="3"/>
  <c r="E296" i="3"/>
  <c r="E442" i="3"/>
  <c r="E545" i="3"/>
  <c r="E443" i="3"/>
  <c r="E232" i="3"/>
  <c r="E233" i="3"/>
  <c r="E248" i="3"/>
  <c r="E546" i="3"/>
  <c r="E547" i="3"/>
  <c r="E270" i="3"/>
  <c r="E197" i="3"/>
  <c r="E271" i="3"/>
  <c r="E562" i="3"/>
  <c r="E188" i="3"/>
  <c r="E234" i="3"/>
  <c r="E235" i="3"/>
  <c r="E236" i="3"/>
  <c r="E189" i="3"/>
  <c r="E399" i="3"/>
  <c r="E297" i="3"/>
  <c r="E249" i="3"/>
  <c r="E220" i="3"/>
  <c r="E298" i="3"/>
  <c r="E252" i="3"/>
  <c r="E548" i="3"/>
  <c r="E549" i="3"/>
  <c r="E221" i="3"/>
  <c r="E400" i="3"/>
  <c r="E299" i="3"/>
  <c r="E403" i="3"/>
  <c r="E401" i="3"/>
  <c r="E237" i="3"/>
  <c r="E537" i="3"/>
  <c r="E402" i="3"/>
  <c r="E238" i="3"/>
  <c r="E386" i="3"/>
  <c r="E387" i="3"/>
  <c r="E388" i="3"/>
  <c r="E366" i="3"/>
  <c r="E374" i="3"/>
  <c r="E351" i="3"/>
  <c r="E444" i="3"/>
  <c r="E431" i="3"/>
  <c r="E375" i="3"/>
  <c r="E376" i="3"/>
  <c r="E352" i="3"/>
  <c r="E353" i="3"/>
  <c r="E377" i="3"/>
  <c r="E141" i="3"/>
  <c r="E142" i="3"/>
  <c r="E81" i="3"/>
  <c r="E82" i="3"/>
  <c r="E478" i="3"/>
  <c r="E83" i="3"/>
  <c r="E367" i="3"/>
  <c r="E389" i="3"/>
  <c r="E84" i="3"/>
  <c r="E85" i="3"/>
  <c r="E445" i="3"/>
  <c r="E86" i="3"/>
  <c r="E300" i="3"/>
  <c r="E87" i="3"/>
  <c r="E378" i="3"/>
  <c r="E88" i="3"/>
  <c r="E215" i="3"/>
  <c r="E89" i="3"/>
  <c r="E301" i="3"/>
  <c r="E446" i="3"/>
  <c r="E210" i="3"/>
  <c r="E394" i="3"/>
  <c r="E518" i="3"/>
  <c r="E519" i="3"/>
  <c r="E447" i="3"/>
  <c r="E211" i="3"/>
  <c r="E212" i="3"/>
  <c r="E213" i="3"/>
  <c r="E520" i="3"/>
  <c r="E521" i="3"/>
  <c r="E479" i="3"/>
  <c r="E522" i="3"/>
  <c r="E214" i="3"/>
  <c r="E448" i="3"/>
  <c r="E302" i="3"/>
  <c r="E480" i="3"/>
  <c r="E209" i="3"/>
  <c r="E523" i="3"/>
  <c r="E524" i="3"/>
  <c r="E204" i="3"/>
  <c r="E143" i="3"/>
  <c r="E449" i="3"/>
  <c r="E358" i="3"/>
  <c r="E359" i="3"/>
  <c r="E481" i="3"/>
  <c r="E131" i="3"/>
  <c r="E482" i="3"/>
  <c r="E450" i="3"/>
  <c r="E360" i="3"/>
  <c r="E361" i="3"/>
  <c r="E483" i="3"/>
  <c r="E144" i="3"/>
  <c r="E382" i="3"/>
  <c r="E484" i="3"/>
  <c r="E132" i="3"/>
  <c r="E368" i="3"/>
  <c r="E133" i="3"/>
  <c r="E485" i="3"/>
  <c r="E486" i="3"/>
  <c r="E134" i="3"/>
  <c r="E135" i="3"/>
  <c r="E362" i="3"/>
  <c r="E136" i="3"/>
  <c r="E487" i="3"/>
  <c r="E488" i="3"/>
  <c r="E148" i="3"/>
  <c r="E434" i="3"/>
  <c r="E489" i="3"/>
  <c r="E383" i="3"/>
  <c r="E404" i="3"/>
  <c r="E363" i="3"/>
  <c r="E384" i="3"/>
  <c r="E364" i="3"/>
  <c r="E451" i="3"/>
  <c r="E406" i="3"/>
  <c r="E390" i="3"/>
  <c r="E407" i="3"/>
  <c r="E408" i="3"/>
  <c r="E369" i="3"/>
  <c r="E370" i="3"/>
  <c r="E137" i="3"/>
  <c r="E385" i="3"/>
  <c r="E452" i="3"/>
  <c r="E391" i="3"/>
  <c r="E409" i="3"/>
  <c r="E453" i="3"/>
  <c r="E354" i="3"/>
  <c r="E454" i="3"/>
  <c r="E455" i="3"/>
  <c r="E392" i="3"/>
  <c r="E379" i="3"/>
  <c r="E355" i="3"/>
  <c r="E393" i="3"/>
  <c r="E356" i="3"/>
  <c r="E262" i="3"/>
  <c r="E253" i="3"/>
  <c r="E97" i="3"/>
  <c r="E181" i="3"/>
  <c r="E164" i="3"/>
  <c r="E190" i="3"/>
  <c r="E191" i="3"/>
  <c r="E155" i="3"/>
  <c r="E192" i="3"/>
  <c r="E182" i="3"/>
  <c r="E98" i="3"/>
  <c r="E29" i="3"/>
  <c r="E108" i="3"/>
  <c r="E99" i="3"/>
  <c r="E109" i="3"/>
  <c r="E100" i="3"/>
  <c r="E24" i="3"/>
  <c r="E30" i="3"/>
  <c r="E26" i="3"/>
  <c r="E31" i="3"/>
  <c r="E62" i="3"/>
  <c r="E222" i="3"/>
  <c r="E223" i="3"/>
  <c r="E536" i="3"/>
  <c r="E532" i="3"/>
  <c r="E505" i="3"/>
  <c r="E417" i="3"/>
  <c r="E456" i="3"/>
  <c r="E347" i="3"/>
  <c r="E340" i="3"/>
  <c r="E337" i="3"/>
  <c r="E331" i="3"/>
  <c r="E333" i="3"/>
  <c r="E303" i="3"/>
  <c r="E284" i="3"/>
  <c r="E285" i="3"/>
  <c r="E52" i="3"/>
  <c r="E53" i="3"/>
  <c r="E311" i="3"/>
  <c r="E239" i="3"/>
  <c r="E121" i="3"/>
  <c r="E490" i="3"/>
  <c r="E491" i="3"/>
  <c r="E122" i="3"/>
  <c r="E113" i="3"/>
  <c r="E117" i="3"/>
  <c r="E312" i="3"/>
  <c r="E492" i="3"/>
  <c r="E90" i="3"/>
  <c r="E313" i="3"/>
  <c r="E380" i="3"/>
  <c r="E91" i="3"/>
  <c r="E493" i="3"/>
  <c r="E494" i="3"/>
  <c r="E495" i="3"/>
  <c r="E496" i="3"/>
  <c r="E497" i="3"/>
  <c r="E498" i="3"/>
  <c r="E365" i="3"/>
  <c r="E138" i="3"/>
  <c r="E145" i="3"/>
  <c r="E499" i="3"/>
  <c r="D254" i="3"/>
  <c r="D240" i="3"/>
  <c r="D241" i="3"/>
  <c r="D250" i="3"/>
  <c r="D255" i="3"/>
  <c r="D256" i="3"/>
  <c r="D32" i="3"/>
  <c r="D63" i="3"/>
  <c r="D166" i="3"/>
  <c r="D193" i="3"/>
  <c r="D194" i="3"/>
  <c r="D167" i="3"/>
  <c r="D183" i="3"/>
  <c r="D184" i="3"/>
  <c r="D156" i="3"/>
  <c r="D149" i="3"/>
  <c r="D195" i="3"/>
  <c r="D196" i="3"/>
  <c r="D54" i="3"/>
  <c r="D101" i="3"/>
  <c r="D39" i="3"/>
  <c r="D102" i="3"/>
  <c r="D40" i="3"/>
  <c r="D41" i="3"/>
  <c r="D10" i="3"/>
  <c r="D103" i="3"/>
  <c r="D42" i="3"/>
  <c r="D43" i="3"/>
  <c r="D104" i="3"/>
  <c r="D33" i="3"/>
  <c r="D11" i="3"/>
  <c r="D92" i="3"/>
  <c r="D25" i="3"/>
  <c r="D12" i="3"/>
  <c r="D114" i="3"/>
  <c r="D115" i="3"/>
  <c r="D551" i="3"/>
  <c r="D553" i="3"/>
  <c r="D555" i="3"/>
  <c r="D529" i="3"/>
  <c r="D506" i="3"/>
  <c r="D508" i="3"/>
  <c r="D422" i="3"/>
  <c r="D410" i="3"/>
  <c r="D418" i="3"/>
  <c r="D435" i="3"/>
  <c r="D411" i="3"/>
  <c r="D423" i="3"/>
  <c r="D412" i="3"/>
  <c r="D413" i="3"/>
  <c r="D424" i="3"/>
  <c r="D346" i="3"/>
  <c r="D348" i="3"/>
  <c r="D341" i="3"/>
  <c r="D342" i="3"/>
  <c r="D343" i="3"/>
  <c r="D338" i="3"/>
  <c r="D335" i="3"/>
  <c r="D334" i="3"/>
  <c r="D330" i="3"/>
  <c r="D286" i="3"/>
  <c r="D314" i="3"/>
  <c r="D315" i="3"/>
  <c r="D316" i="3"/>
  <c r="D287" i="3"/>
  <c r="D317" i="3"/>
  <c r="D277" i="3"/>
  <c r="D278" i="3"/>
  <c r="D64" i="3"/>
  <c r="D515" i="3"/>
  <c r="D457" i="3"/>
  <c r="D44" i="3"/>
  <c r="D458" i="3"/>
  <c r="D304" i="3"/>
  <c r="D459" i="3"/>
  <c r="D45" i="3"/>
  <c r="D46" i="3"/>
  <c r="D118" i="3"/>
  <c r="D119" i="3"/>
  <c r="D460" i="3"/>
  <c r="D201" i="3"/>
  <c r="D116" i="3"/>
  <c r="D225" i="3"/>
  <c r="D198" i="3"/>
  <c r="D461" i="3"/>
  <c r="D462" i="3"/>
  <c r="D47" i="3"/>
  <c r="D202" i="3"/>
  <c r="D110" i="3"/>
  <c r="D111" i="3"/>
  <c r="D305" i="3"/>
  <c r="D120" i="3"/>
  <c r="D226" i="3"/>
  <c r="D306" i="3"/>
  <c r="D93" i="3"/>
  <c r="D123" i="3"/>
  <c r="D65" i="3"/>
  <c r="D463" i="3"/>
  <c r="D464" i="3"/>
  <c r="D465" i="3"/>
  <c r="D466" i="3"/>
  <c r="D371" i="3"/>
  <c r="D307" i="3"/>
  <c r="D372" i="3"/>
  <c r="D66" i="3"/>
  <c r="D67" i="3"/>
  <c r="D350" i="3"/>
  <c r="D68" i="3"/>
  <c r="D69" i="3"/>
  <c r="D467" i="3"/>
  <c r="D468" i="3"/>
  <c r="D70" i="3"/>
  <c r="D139" i="3"/>
  <c r="D308" i="3"/>
  <c r="D469" i="3"/>
  <c r="D140" i="3"/>
  <c r="D470" i="3"/>
  <c r="D71" i="3"/>
  <c r="D309" i="3"/>
  <c r="D471" i="3"/>
  <c r="D472" i="3"/>
  <c r="D432" i="3"/>
  <c r="D124" i="3"/>
  <c r="D125" i="3"/>
  <c r="D126" i="3"/>
  <c r="D127" i="3"/>
  <c r="D128" i="3"/>
  <c r="D473" i="3"/>
  <c r="D129" i="3"/>
  <c r="D474" i="3"/>
  <c r="D357" i="3"/>
  <c r="D130" i="3"/>
  <c r="D433" i="3"/>
  <c r="D146" i="3"/>
  <c r="D147" i="3"/>
  <c r="D405" i="3"/>
  <c r="D475" i="3"/>
  <c r="D476" i="3"/>
  <c r="D477" i="3"/>
  <c r="D373" i="3"/>
  <c r="D267" i="3"/>
  <c r="D257" i="3"/>
  <c r="D268" i="3"/>
  <c r="D263" i="3"/>
  <c r="D258" i="3"/>
  <c r="D259" i="3"/>
  <c r="D264" i="3"/>
  <c r="D269" i="3"/>
  <c r="D243" i="3"/>
  <c r="D260" i="3"/>
  <c r="D251" i="3"/>
  <c r="D205" i="3"/>
  <c r="D265" i="3"/>
  <c r="D381" i="3"/>
  <c r="D242" i="3"/>
  <c r="D266" i="3"/>
  <c r="D261" i="3"/>
  <c r="D34" i="3"/>
  <c r="D35" i="3"/>
  <c r="D72" i="3"/>
  <c r="D168" i="3"/>
  <c r="D157" i="3"/>
  <c r="D150" i="3"/>
  <c r="D169" i="3"/>
  <c r="D170" i="3"/>
  <c r="D158" i="3"/>
  <c r="D159" i="3"/>
  <c r="D171" i="3"/>
  <c r="D172" i="3"/>
  <c r="D173" i="3"/>
  <c r="D153" i="3"/>
  <c r="D151" i="3"/>
  <c r="D174" i="3"/>
  <c r="D160" i="3"/>
  <c r="D161" i="3"/>
  <c r="D152" i="3"/>
  <c r="D175" i="3"/>
  <c r="D162" i="3"/>
  <c r="D176" i="3"/>
  <c r="D185" i="3"/>
  <c r="D177" i="3"/>
  <c r="D178" i="3"/>
  <c r="D179" i="3"/>
  <c r="D180" i="3"/>
  <c r="D163" i="3"/>
  <c r="D186" i="3"/>
  <c r="D154" i="3"/>
  <c r="D187" i="3"/>
  <c r="D165" i="3"/>
  <c r="D73" i="3"/>
  <c r="D74" i="3"/>
  <c r="D105" i="3"/>
  <c r="D75" i="3"/>
  <c r="D55" i="3"/>
  <c r="D2" i="3"/>
  <c r="D3" i="3"/>
  <c r="D76" i="3"/>
  <c r="D56" i="3"/>
  <c r="D77" i="3"/>
  <c r="D36" i="3"/>
  <c r="D4" i="3"/>
  <c r="D57" i="3"/>
  <c r="D78" i="3"/>
  <c r="D79" i="3"/>
  <c r="D80" i="3"/>
  <c r="D37" i="3"/>
  <c r="D5" i="3"/>
  <c r="D94" i="3"/>
  <c r="D48" i="3"/>
  <c r="D6" i="3"/>
  <c r="D13" i="3"/>
  <c r="D49" i="3"/>
  <c r="D27" i="3"/>
  <c r="D14" i="3"/>
  <c r="D7" i="3"/>
  <c r="D106" i="3"/>
  <c r="D95" i="3"/>
  <c r="D8" i="3"/>
  <c r="D15" i="3"/>
  <c r="D16" i="3"/>
  <c r="D17" i="3"/>
  <c r="D18" i="3"/>
  <c r="D19" i="3"/>
  <c r="D58" i="3"/>
  <c r="D20" i="3"/>
  <c r="D59" i="3"/>
  <c r="D60" i="3"/>
  <c r="D21" i="3"/>
  <c r="D22" i="3"/>
  <c r="D38" i="3"/>
  <c r="D23" i="3"/>
  <c r="D107" i="3"/>
  <c r="D9" i="3"/>
  <c r="D96" i="3"/>
  <c r="D550" i="3"/>
  <c r="D61" i="3"/>
  <c r="D28" i="3"/>
  <c r="D538" i="3"/>
  <c r="D539" i="3"/>
  <c r="D540" i="3"/>
  <c r="D541" i="3"/>
  <c r="D227" i="3"/>
  <c r="D50" i="3"/>
  <c r="D228" i="3"/>
  <c r="D310" i="3"/>
  <c r="D112" i="3"/>
  <c r="D557" i="3"/>
  <c r="D558" i="3"/>
  <c r="D525" i="3"/>
  <c r="D556" i="3"/>
  <c r="D554" i="3"/>
  <c r="D563" i="3"/>
  <c r="D533" i="3"/>
  <c r="D552" i="3"/>
  <c r="D535" i="3"/>
  <c r="D534" i="3"/>
  <c r="D527" i="3"/>
  <c r="D528" i="3"/>
  <c r="D514" i="3"/>
  <c r="D502" i="3"/>
  <c r="D526" i="3"/>
  <c r="D530" i="3"/>
  <c r="D507" i="3"/>
  <c r="D531" i="3"/>
  <c r="D509" i="3"/>
  <c r="D510" i="3"/>
  <c r="D503" i="3"/>
  <c r="D511" i="3"/>
  <c r="D425" i="3"/>
  <c r="D414" i="3"/>
  <c r="D504" i="3"/>
  <c r="D512" i="3"/>
  <c r="D513" i="3"/>
  <c r="D426" i="3"/>
  <c r="D436" i="3"/>
  <c r="D427" i="3"/>
  <c r="D500" i="3"/>
  <c r="D428" i="3"/>
  <c r="D429" i="3"/>
  <c r="D419" i="3"/>
  <c r="D415" i="3"/>
  <c r="D437" i="3"/>
  <c r="D416" i="3"/>
  <c r="D420" i="3"/>
  <c r="D430" i="3"/>
  <c r="D421" i="3"/>
  <c r="D339" i="3"/>
  <c r="D344" i="3"/>
  <c r="D345" i="3"/>
  <c r="D501" i="3"/>
  <c r="D349" i="3"/>
  <c r="D332" i="3"/>
  <c r="D327" i="3"/>
  <c r="D336" i="3"/>
  <c r="D328" i="3"/>
  <c r="D329" i="3"/>
  <c r="D323" i="3"/>
  <c r="D324" i="3"/>
  <c r="D325" i="3"/>
  <c r="D279" i="3"/>
  <c r="D326" i="3"/>
  <c r="D288" i="3"/>
  <c r="D280" i="3"/>
  <c r="D318" i="3"/>
  <c r="D289" i="3"/>
  <c r="D290" i="3"/>
  <c r="D281" i="3"/>
  <c r="D272" i="3"/>
  <c r="D282" i="3"/>
  <c r="D291" i="3"/>
  <c r="D273" i="3"/>
  <c r="D274" i="3"/>
  <c r="D319" i="3"/>
  <c r="D292" i="3"/>
  <c r="D320" i="3"/>
  <c r="D321" i="3"/>
  <c r="D322" i="3"/>
  <c r="D283" i="3"/>
  <c r="D293" i="3"/>
  <c r="D275" i="3"/>
  <c r="D276" i="3"/>
  <c r="D244" i="3"/>
  <c r="D294" i="3"/>
  <c r="D516" i="3"/>
  <c r="D517" i="3"/>
  <c r="D245" i="3"/>
  <c r="D246" i="3"/>
  <c r="D295" i="3"/>
  <c r="D438" i="3"/>
  <c r="D247" i="3"/>
  <c r="D439" i="3"/>
  <c r="D440" i="3"/>
  <c r="D51" i="3"/>
  <c r="D208" i="3"/>
  <c r="D203" i="3"/>
  <c r="D206" i="3"/>
  <c r="D207" i="3"/>
  <c r="D229" i="3"/>
  <c r="D441" i="3"/>
  <c r="D559" i="3"/>
  <c r="D395" i="3"/>
  <c r="D216" i="3"/>
  <c r="D217" i="3"/>
  <c r="D396" i="3"/>
  <c r="D542" i="3"/>
  <c r="D560" i="3"/>
  <c r="D218" i="3"/>
  <c r="D230" i="3"/>
  <c r="D224" i="3"/>
  <c r="D543" i="3"/>
  <c r="D219" i="3"/>
  <c r="D544" i="3"/>
  <c r="D397" i="3"/>
  <c r="D199" i="3"/>
  <c r="D200" i="3"/>
  <c r="D231" i="3"/>
  <c r="D561" i="3"/>
  <c r="D398" i="3"/>
  <c r="D296" i="3"/>
  <c r="D442" i="3"/>
  <c r="D545" i="3"/>
  <c r="D443" i="3"/>
  <c r="D232" i="3"/>
  <c r="D233" i="3"/>
  <c r="D248" i="3"/>
  <c r="D546" i="3"/>
  <c r="D547" i="3"/>
  <c r="D270" i="3"/>
  <c r="D197" i="3"/>
  <c r="D271" i="3"/>
  <c r="D562" i="3"/>
  <c r="D188" i="3"/>
  <c r="D234" i="3"/>
  <c r="D235" i="3"/>
  <c r="D236" i="3"/>
  <c r="D189" i="3"/>
  <c r="D399" i="3"/>
  <c r="D297" i="3"/>
  <c r="D249" i="3"/>
  <c r="D220" i="3"/>
  <c r="D298" i="3"/>
  <c r="D252" i="3"/>
  <c r="D548" i="3"/>
  <c r="D549" i="3"/>
  <c r="D221" i="3"/>
  <c r="D400" i="3"/>
  <c r="D299" i="3"/>
  <c r="D403" i="3"/>
  <c r="D401" i="3"/>
  <c r="D237" i="3"/>
  <c r="D537" i="3"/>
  <c r="D402" i="3"/>
  <c r="D238" i="3"/>
  <c r="D386" i="3"/>
  <c r="D387" i="3"/>
  <c r="D388" i="3"/>
  <c r="D366" i="3"/>
  <c r="D374" i="3"/>
  <c r="D351" i="3"/>
  <c r="D444" i="3"/>
  <c r="D431" i="3"/>
  <c r="D375" i="3"/>
  <c r="D376" i="3"/>
  <c r="D352" i="3"/>
  <c r="D353" i="3"/>
  <c r="D377" i="3"/>
  <c r="D141" i="3"/>
  <c r="D142" i="3"/>
  <c r="D81" i="3"/>
  <c r="D82" i="3"/>
  <c r="D478" i="3"/>
  <c r="D83" i="3"/>
  <c r="D367" i="3"/>
  <c r="D389" i="3"/>
  <c r="D84" i="3"/>
  <c r="D85" i="3"/>
  <c r="D445" i="3"/>
  <c r="D86" i="3"/>
  <c r="D300" i="3"/>
  <c r="D87" i="3"/>
  <c r="D378" i="3"/>
  <c r="D88" i="3"/>
  <c r="D215" i="3"/>
  <c r="D89" i="3"/>
  <c r="D301" i="3"/>
  <c r="D446" i="3"/>
  <c r="D210" i="3"/>
  <c r="D394" i="3"/>
  <c r="D518" i="3"/>
  <c r="D519" i="3"/>
  <c r="D447" i="3"/>
  <c r="D211" i="3"/>
  <c r="D212" i="3"/>
  <c r="D213" i="3"/>
  <c r="D520" i="3"/>
  <c r="D521" i="3"/>
  <c r="D479" i="3"/>
  <c r="D522" i="3"/>
  <c r="D214" i="3"/>
  <c r="D448" i="3"/>
  <c r="D302" i="3"/>
  <c r="D480" i="3"/>
  <c r="D209" i="3"/>
  <c r="D523" i="3"/>
  <c r="D524" i="3"/>
  <c r="D204" i="3"/>
  <c r="D143" i="3"/>
  <c r="D449" i="3"/>
  <c r="D358" i="3"/>
  <c r="D359" i="3"/>
  <c r="D481" i="3"/>
  <c r="D131" i="3"/>
  <c r="D482" i="3"/>
  <c r="D450" i="3"/>
  <c r="D360" i="3"/>
  <c r="D361" i="3"/>
  <c r="D483" i="3"/>
  <c r="D144" i="3"/>
  <c r="D382" i="3"/>
  <c r="D484" i="3"/>
  <c r="D132" i="3"/>
  <c r="D368" i="3"/>
  <c r="D133" i="3"/>
  <c r="D485" i="3"/>
  <c r="D486" i="3"/>
  <c r="D134" i="3"/>
  <c r="D135" i="3"/>
  <c r="D362" i="3"/>
  <c r="D136" i="3"/>
  <c r="D487" i="3"/>
  <c r="D488" i="3"/>
  <c r="D148" i="3"/>
  <c r="D434" i="3"/>
  <c r="D489" i="3"/>
  <c r="D383" i="3"/>
  <c r="D404" i="3"/>
  <c r="D363" i="3"/>
  <c r="D384" i="3"/>
  <c r="D364" i="3"/>
  <c r="D451" i="3"/>
  <c r="D406" i="3"/>
  <c r="D390" i="3"/>
  <c r="D407" i="3"/>
  <c r="D408" i="3"/>
  <c r="D369" i="3"/>
  <c r="D370" i="3"/>
  <c r="D137" i="3"/>
  <c r="D385" i="3"/>
  <c r="D452" i="3"/>
  <c r="D391" i="3"/>
  <c r="D409" i="3"/>
  <c r="D453" i="3"/>
  <c r="D354" i="3"/>
  <c r="D454" i="3"/>
  <c r="D455" i="3"/>
  <c r="D392" i="3"/>
  <c r="D379" i="3"/>
  <c r="D355" i="3"/>
  <c r="D393" i="3"/>
  <c r="D356" i="3"/>
  <c r="D262" i="3"/>
  <c r="D253" i="3"/>
  <c r="D97" i="3"/>
  <c r="D181" i="3"/>
  <c r="D164" i="3"/>
  <c r="D190" i="3"/>
  <c r="D191" i="3"/>
  <c r="D155" i="3"/>
  <c r="D192" i="3"/>
  <c r="D182" i="3"/>
  <c r="D98" i="3"/>
  <c r="D29" i="3"/>
  <c r="D108" i="3"/>
  <c r="D99" i="3"/>
  <c r="D109" i="3"/>
  <c r="D100" i="3"/>
  <c r="D24" i="3"/>
  <c r="D30" i="3"/>
  <c r="D26" i="3"/>
  <c r="D31" i="3"/>
  <c r="D62" i="3"/>
  <c r="D222" i="3"/>
  <c r="D223" i="3"/>
  <c r="D536" i="3"/>
  <c r="D532" i="3"/>
  <c r="D505" i="3"/>
  <c r="D417" i="3"/>
  <c r="D456" i="3"/>
  <c r="D347" i="3"/>
  <c r="D340" i="3"/>
  <c r="D337" i="3"/>
  <c r="D331" i="3"/>
  <c r="D333" i="3"/>
  <c r="D303" i="3"/>
  <c r="D284" i="3"/>
  <c r="D285" i="3"/>
  <c r="D52" i="3"/>
  <c r="D53" i="3"/>
  <c r="D311" i="3"/>
  <c r="D239" i="3"/>
  <c r="D121" i="3"/>
  <c r="D490" i="3"/>
  <c r="D491" i="3"/>
  <c r="D122" i="3"/>
  <c r="D113" i="3"/>
  <c r="D117" i="3"/>
  <c r="D312" i="3"/>
  <c r="D492" i="3"/>
  <c r="D90" i="3"/>
  <c r="D313" i="3"/>
  <c r="D380" i="3"/>
  <c r="D91" i="3"/>
  <c r="D493" i="3"/>
  <c r="D494" i="3"/>
  <c r="D495" i="3"/>
  <c r="D496" i="3"/>
  <c r="D497" i="3"/>
  <c r="D498" i="3"/>
  <c r="D365" i="3"/>
  <c r="D138" i="3"/>
  <c r="D145" i="3"/>
  <c r="D499" i="3"/>
</calcChain>
</file>

<file path=xl/sharedStrings.xml><?xml version="1.0" encoding="utf-8"?>
<sst xmlns="http://schemas.openxmlformats.org/spreadsheetml/2006/main" count="14970" uniqueCount="1568">
  <si>
    <t>vienede</t>
  </si>
  <si>
    <t>folio</t>
  </si>
  <si>
    <t>estrategia</t>
  </si>
  <si>
    <t>Usuario</t>
  </si>
  <si>
    <t>Gerente</t>
  </si>
  <si>
    <t>promotor</t>
  </si>
  <si>
    <t>tel_pago</t>
  </si>
  <si>
    <t>os_cargo</t>
  </si>
  <si>
    <t>pisa_osfposteo</t>
  </si>
  <si>
    <t>pisa_baja_fecha</t>
  </si>
  <si>
    <t>division</t>
  </si>
  <si>
    <t>area</t>
  </si>
  <si>
    <t>comision_base</t>
  </si>
  <si>
    <t>pago_comision</t>
  </si>
  <si>
    <t>pago_distrito</t>
  </si>
  <si>
    <t>pago_max_10_dias</t>
  </si>
  <si>
    <t>pago_directo_promotor</t>
  </si>
  <si>
    <t>pago_total</t>
  </si>
  <si>
    <t>pago_paquete</t>
  </si>
  <si>
    <t>observaciones</t>
  </si>
  <si>
    <t>rezago</t>
  </si>
  <si>
    <t>volumen</t>
  </si>
  <si>
    <t>avance_quincena</t>
  </si>
  <si>
    <t>rango_volumen</t>
  </si>
  <si>
    <t>semana</t>
  </si>
  <si>
    <t>archivo_origen</t>
  </si>
  <si>
    <t>SIAC 2P</t>
  </si>
  <si>
    <t>TCSRLOJE</t>
  </si>
  <si>
    <t>EDGAR DAVID LOVERA JUAREZ</t>
  </si>
  <si>
    <t>0000-00-00</t>
  </si>
  <si>
    <t>METRO-SUR</t>
  </si>
  <si>
    <t>SOTELO</t>
  </si>
  <si>
    <t>INFINITUM SOLO INTERNET 349</t>
  </si>
  <si>
    <t>PAGO CLIENTE</t>
  </si>
  <si>
    <t>14-2026</t>
  </si>
  <si>
    <t>Servicios-promotores14-2026.csv</t>
  </si>
  <si>
    <t>MIXCOAC</t>
  </si>
  <si>
    <t>PAQUETE 389</t>
  </si>
  <si>
    <t>POSTEO</t>
  </si>
  <si>
    <t>ERMITA-TLAHUAC</t>
  </si>
  <si>
    <t>METROPOLITANA</t>
  </si>
  <si>
    <t>PAQUETE INFINITUM NEGOCIO 649</t>
  </si>
  <si>
    <t>UNIVERSIDAD</t>
  </si>
  <si>
    <t>INFINITUM SOLO INTERNET 449</t>
  </si>
  <si>
    <t>PAQUETE 435</t>
  </si>
  <si>
    <t>LOMAS</t>
  </si>
  <si>
    <t>TOLUCA</t>
  </si>
  <si>
    <t>ECATEPEC</t>
  </si>
  <si>
    <t>15-2026</t>
  </si>
  <si>
    <t>Servicios-promotores15-2026.csv</t>
  </si>
  <si>
    <t>INFINITUM SOLO INTERNET 399</t>
  </si>
  <si>
    <t>INFINITUM NEGOCIO SOLO INTERNET 349</t>
  </si>
  <si>
    <t>TECAMAC</t>
  </si>
  <si>
    <t>PAQUETE 499</t>
  </si>
  <si>
    <t>POSTEO PAGO CLIENTE</t>
  </si>
  <si>
    <t>BALBUENA</t>
  </si>
  <si>
    <t>PAQUETE 599</t>
  </si>
  <si>
    <t>INFINITUM SOLO INTERNET 549</t>
  </si>
  <si>
    <t>PAGO CLIENTE MES 1</t>
  </si>
  <si>
    <t>16-2026</t>
  </si>
  <si>
    <t>Servicios-promotores16-2026(1).csv</t>
  </si>
  <si>
    <t>VALLE-SAN JUAN</t>
  </si>
  <si>
    <t>TEXCOCO-ZARAGOZA</t>
  </si>
  <si>
    <t>2026-04-15</t>
  </si>
  <si>
    <t>17-2026</t>
  </si>
  <si>
    <t>Servicios-promotores17-2026(1).csv</t>
  </si>
  <si>
    <t>2026-02-16</t>
  </si>
  <si>
    <t>2026-02-25</t>
  </si>
  <si>
    <t>INFINITUM NEGOCIO SOLO INTERNET 499</t>
  </si>
  <si>
    <t>DOMICILIACION MES 1</t>
  </si>
  <si>
    <t>2026-02-27</t>
  </si>
  <si>
    <t>2026-03-12</t>
  </si>
  <si>
    <t>2026-04-14</t>
  </si>
  <si>
    <t>2026-03-20</t>
  </si>
  <si>
    <t>2026-03-24</t>
  </si>
  <si>
    <t>2026-04-18</t>
  </si>
  <si>
    <t>2026-04-20</t>
  </si>
  <si>
    <t>2026-04-17</t>
  </si>
  <si>
    <t>2026-04-16</t>
  </si>
  <si>
    <t>PAQUETE INFINITUM NEGOCIO 549</t>
  </si>
  <si>
    <t>2026-04-06</t>
  </si>
  <si>
    <t>18-2026</t>
  </si>
  <si>
    <t>Servicios-promotores18-2026(1).csv</t>
  </si>
  <si>
    <t>2026-04-27</t>
  </si>
  <si>
    <t>NOROESTE</t>
  </si>
  <si>
    <t>TIJUANA</t>
  </si>
  <si>
    <t>2026-02-09</t>
  </si>
  <si>
    <t>2026-02-23</t>
  </si>
  <si>
    <t>PAQUETE INFINITUM NEGOCIO 399</t>
  </si>
  <si>
    <t>2026-03-26</t>
  </si>
  <si>
    <t>2026-03-30</t>
  </si>
  <si>
    <t>2026-04-01</t>
  </si>
  <si>
    <t>2026-04-03</t>
  </si>
  <si>
    <t>2026-04-21</t>
  </si>
  <si>
    <t>2026-04-22</t>
  </si>
  <si>
    <t>2026-04-23</t>
  </si>
  <si>
    <t>19-2026</t>
  </si>
  <si>
    <t>Servicios-promotores19-2026(1).csv</t>
  </si>
  <si>
    <t>2026-03-05</t>
  </si>
  <si>
    <t>2026-05-03</t>
  </si>
  <si>
    <t>2026-04-28</t>
  </si>
  <si>
    <t>LINDAVISTA</t>
  </si>
  <si>
    <t>2026-05-09</t>
  </si>
  <si>
    <t>20-2026</t>
  </si>
  <si>
    <t>Servicios-promotores20-2026(1).csv</t>
  </si>
  <si>
    <t>POSTEO PAGO CLIENTE MES 1</t>
  </si>
  <si>
    <t>PAQUETE $599</t>
  </si>
  <si>
    <t>AJUSTE POSTEO, AJUSTE PAGO CLIENTE MES 1</t>
  </si>
  <si>
    <t>21-2026</t>
  </si>
  <si>
    <t>Servicios-promotores21-2026.csv</t>
  </si>
  <si>
    <t>PAQUETE $389</t>
  </si>
  <si>
    <t>AJUSTE POSTEO</t>
  </si>
  <si>
    <t>INFINITUM SOLO INTERNET $549</t>
  </si>
  <si>
    <t>PAQUETE $499</t>
  </si>
  <si>
    <t>PAQUETE $435</t>
  </si>
  <si>
    <t>INFINITUM SOLO INTERNET $349</t>
  </si>
  <si>
    <t>INFINITUM NEGOCIO SOLO INTERNET $399</t>
  </si>
  <si>
    <t>PAQUETE INFINITUM NEGOCIO $399</t>
  </si>
  <si>
    <t>PAQUETE INFINITUM NEGOCIO $649</t>
  </si>
  <si>
    <t>AJUSTE POSTEO, PAGO CLIENTE MES 1</t>
  </si>
  <si>
    <t>INFINITUM NEGOCIO SOLO INTERNET $349</t>
  </si>
  <si>
    <t>PAQUETE INFINITUM NEGOCIO $549</t>
  </si>
  <si>
    <t>fch_pago</t>
  </si>
  <si>
    <t>bono1</t>
  </si>
  <si>
    <t>bono2</t>
  </si>
  <si>
    <t>bono_promotor</t>
  </si>
  <si>
    <t>Servicios-14-2026(1).csv</t>
  </si>
  <si>
    <t>INFINITUM SOLO INTERNET $449</t>
  </si>
  <si>
    <t>2026-04-13</t>
  </si>
  <si>
    <t>Servicios-15-2026(2).csv</t>
  </si>
  <si>
    <t>POSTEO, PAGO CLIENTE</t>
  </si>
  <si>
    <t>INFINITUM SOLO INTERNET $399</t>
  </si>
  <si>
    <t>Servicios-16-2026(2).csv</t>
  </si>
  <si>
    <t>SIAC 2 P</t>
  </si>
  <si>
    <t>Servicios-17-2026(3).csv</t>
  </si>
  <si>
    <t>2026-05-04</t>
  </si>
  <si>
    <t>Servicios-18-2026(2).csv</t>
  </si>
  <si>
    <t>2026-05-11</t>
  </si>
  <si>
    <t>Servicios-19-2026(2).csv</t>
  </si>
  <si>
    <t>2026-05-18</t>
  </si>
  <si>
    <t>Servicios-20-2026(1).csv</t>
  </si>
  <si>
    <t>POSTEO, PAGO CLIENTE MES 1</t>
  </si>
  <si>
    <t>2026-05-27</t>
  </si>
  <si>
    <t>Servicios-21-2026.csv</t>
  </si>
  <si>
    <t>MEXICO</t>
  </si>
  <si>
    <t>NO ELABORADA DUPLICADA (CON OS)-NO SE GENE RA OTRO FOLIO</t>
  </si>
  <si>
    <t>INBURSA-XOCHIMILCO</t>
  </si>
  <si>
    <t>RESIDENCIAL</t>
  </si>
  <si>
    <t>CAT XOCHIMILCO</t>
  </si>
  <si>
    <t>348485</t>
  </si>
  <si>
    <t>METRO SUR</t>
  </si>
  <si>
    <t>LINEA NUEVA</t>
  </si>
  <si>
    <t>INF19-PAQUETE 389</t>
  </si>
  <si>
    <t>NO ELABORADA CLIENTE DESCONOCE CONTRATACI? N</t>
  </si>
  <si>
    <t>SANTA MARIA-GUERRERO</t>
  </si>
  <si>
    <t>COMERCIAL</t>
  </si>
  <si>
    <t>CAT PARQUE VIA</t>
  </si>
  <si>
    <t>353923</t>
  </si>
  <si>
    <t>PFR24-INFINITUM NEGOCIO 349</t>
  </si>
  <si>
    <t>CULHUACAN</t>
  </si>
  <si>
    <t>CAT CULHUACAN</t>
  </si>
  <si>
    <t>352529</t>
  </si>
  <si>
    <t>METRO NORTE</t>
  </si>
  <si>
    <t>PFR39-INFINITUM 349</t>
  </si>
  <si>
    <t>5597887697</t>
  </si>
  <si>
    <t>LINEA PORTADA</t>
  </si>
  <si>
    <t>NO ELABORADA ZONA SIN RED</t>
  </si>
  <si>
    <t>TEXCOCO</t>
  </si>
  <si>
    <t>CAT CHIMALHUACAN</t>
  </si>
  <si>
    <t>TLAHUAC</t>
  </si>
  <si>
    <t>CAT TLAHUAC</t>
  </si>
  <si>
    <t>5595324156</t>
  </si>
  <si>
    <t>NO ELABORADA OFERTA INCORRECTA</t>
  </si>
  <si>
    <t>SANTA LUCIA</t>
  </si>
  <si>
    <t>CAT LORETO (MEX)</t>
  </si>
  <si>
    <t>SANTA ROSA XOCHIAC</t>
  </si>
  <si>
    <t>SBO0007</t>
  </si>
  <si>
    <t>NO ELABORADA DUPLICADA (OTRO FOLIO SIAC)</t>
  </si>
  <si>
    <t>CUAJIMALPA-INTERLOMAS</t>
  </si>
  <si>
    <t>CAT CUAJIMALPA</t>
  </si>
  <si>
    <t>5595011101</t>
  </si>
  <si>
    <t>346072</t>
  </si>
  <si>
    <t>NO ELABORADA DOMICILIO INCORRECTO</t>
  </si>
  <si>
    <t>348467</t>
  </si>
  <si>
    <t>ERMITA-MEYEHUALCO</t>
  </si>
  <si>
    <t>CAT MEYEHUALCO</t>
  </si>
  <si>
    <t>5593222956</t>
  </si>
  <si>
    <t>LOS REYES</t>
  </si>
  <si>
    <t>CAT LOS REYES (MEX)</t>
  </si>
  <si>
    <t>5558561355</t>
  </si>
  <si>
    <t>5576012664</t>
  </si>
  <si>
    <t>PQI35-PAQUETE MI NEGOCIO</t>
  </si>
  <si>
    <t>CAT PLAZA INBURSA</t>
  </si>
  <si>
    <t>350703</t>
  </si>
  <si>
    <t>PFR34-INFINITUM 399</t>
  </si>
  <si>
    <t>5577056476</t>
  </si>
  <si>
    <t>350677</t>
  </si>
  <si>
    <t>PQI42-PAQUETE 435</t>
  </si>
  <si>
    <t>5597660245</t>
  </si>
  <si>
    <t>351037</t>
  </si>
  <si>
    <t>5594292061</t>
  </si>
  <si>
    <t>VALLE</t>
  </si>
  <si>
    <t>CAT PORTALES</t>
  </si>
  <si>
    <t>5584653491</t>
  </si>
  <si>
    <t>PQI37-PAQUETE CONECTES NEGOCIO</t>
  </si>
  <si>
    <t>351030</t>
  </si>
  <si>
    <t>5596683308</t>
  </si>
  <si>
    <t>345495</t>
  </si>
  <si>
    <t>5563073404</t>
  </si>
  <si>
    <t>PQI43-PAQUETE 499</t>
  </si>
  <si>
    <t>NES0061</t>
  </si>
  <si>
    <t>346126</t>
  </si>
  <si>
    <t>5596394686</t>
  </si>
  <si>
    <t>CHALCO-AYOTLA</t>
  </si>
  <si>
    <t>CAT CHALCO</t>
  </si>
  <si>
    <t>PFR18-INFINITUM 549</t>
  </si>
  <si>
    <t>5597943869</t>
  </si>
  <si>
    <t>5595946178</t>
  </si>
  <si>
    <t>349726</t>
  </si>
  <si>
    <t>5592598783</t>
  </si>
  <si>
    <t>PFR14-INFINITUM NEGOCIO 399</t>
  </si>
  <si>
    <t>CAT MALINCHE</t>
  </si>
  <si>
    <t>CAT BALBUENA</t>
  </si>
  <si>
    <t>COAPA-UNIVERSIDAD</t>
  </si>
  <si>
    <t>CAT UNIVERSIDAD</t>
  </si>
  <si>
    <t>5596856455</t>
  </si>
  <si>
    <t>5596353492</t>
  </si>
  <si>
    <t>345974</t>
  </si>
  <si>
    <t>330804</t>
  </si>
  <si>
    <t>329069</t>
  </si>
  <si>
    <t>326925</t>
  </si>
  <si>
    <t>5595947861</t>
  </si>
  <si>
    <t>PQI64-PAQUETE 649</t>
  </si>
  <si>
    <t>346196</t>
  </si>
  <si>
    <t>5595714054</t>
  </si>
  <si>
    <t>5592783154</t>
  </si>
  <si>
    <t>BARRIO CALTONGO</t>
  </si>
  <si>
    <t>XO_0104</t>
  </si>
  <si>
    <t>5594595496</t>
  </si>
  <si>
    <t>344154</t>
  </si>
  <si>
    <t>5595270063</t>
  </si>
  <si>
    <t>BARRIO BELEN</t>
  </si>
  <si>
    <t>XO_0005</t>
  </si>
  <si>
    <t>5575992541</t>
  </si>
  <si>
    <t>5575928203</t>
  </si>
  <si>
    <t>PFR25-INFINITUM NEGOCIO 449</t>
  </si>
  <si>
    <t>5558625671</t>
  </si>
  <si>
    <t>5589878580</t>
  </si>
  <si>
    <t>5595034528</t>
  </si>
  <si>
    <t>MORELOS</t>
  </si>
  <si>
    <t>ML_0049</t>
  </si>
  <si>
    <t/>
  </si>
  <si>
    <t>5528393212</t>
  </si>
  <si>
    <t>PF</t>
  </si>
  <si>
    <t>POSTEADA</t>
  </si>
  <si>
    <t>LOMAS DE SAN JUAN IXHUATEPEC</t>
  </si>
  <si>
    <t>JHS0002</t>
  </si>
  <si>
    <t>VALLE DE ARAGON</t>
  </si>
  <si>
    <t>5594606249</t>
  </si>
  <si>
    <t>CAT LAGO</t>
  </si>
  <si>
    <t>PQI32-PAQUETE 599</t>
  </si>
  <si>
    <t>MAGDALENA MIXIUHCA</t>
  </si>
  <si>
    <t>BA_0032</t>
  </si>
  <si>
    <t>5592144774</t>
  </si>
  <si>
    <t>AJUSCO</t>
  </si>
  <si>
    <t>IT_0103</t>
  </si>
  <si>
    <t>5552661949</t>
  </si>
  <si>
    <t>PUEBLO DE LOS REYES</t>
  </si>
  <si>
    <t>IT_0024</t>
  </si>
  <si>
    <t>5522343856</t>
  </si>
  <si>
    <t>BARRIO 18</t>
  </si>
  <si>
    <t>XO_0102</t>
  </si>
  <si>
    <t>5555556438</t>
  </si>
  <si>
    <t>XO_0191</t>
  </si>
  <si>
    <t>5555552285</t>
  </si>
  <si>
    <t>SAN MIGUEL TOPILEJO</t>
  </si>
  <si>
    <t>TWI0001</t>
  </si>
  <si>
    <t>5511072850</t>
  </si>
  <si>
    <t>5522085767</t>
  </si>
  <si>
    <t>AQUILES SERDAN</t>
  </si>
  <si>
    <t>AG_0074</t>
  </si>
  <si>
    <t>5572587959</t>
  </si>
  <si>
    <t>SIMON BOLIVAR</t>
  </si>
  <si>
    <t>AG_0011</t>
  </si>
  <si>
    <t>5552446486</t>
  </si>
  <si>
    <t>5555556825</t>
  </si>
  <si>
    <t>SAN JUAN XALPA</t>
  </si>
  <si>
    <t>ER_0062</t>
  </si>
  <si>
    <t>5528395750</t>
  </si>
  <si>
    <t>CAT ERMITA-IXTAPALAPA</t>
  </si>
  <si>
    <t>IT_0031</t>
  </si>
  <si>
    <t>5554216770</t>
  </si>
  <si>
    <t>5558660924</t>
  </si>
  <si>
    <t>CAMPESTRE ARAGON</t>
  </si>
  <si>
    <t>AZ_0098</t>
  </si>
  <si>
    <t>5528729988</t>
  </si>
  <si>
    <t>CAT ARAGON</t>
  </si>
  <si>
    <t>5596363485</t>
  </si>
  <si>
    <t>5559197065</t>
  </si>
  <si>
    <t>CONSTITUCION DE LA REPUBLICA</t>
  </si>
  <si>
    <t>AZ_0220</t>
  </si>
  <si>
    <t>5557531464</t>
  </si>
  <si>
    <t>AMPLIACION CASAS ALEMAN</t>
  </si>
  <si>
    <t>AZ_0105</t>
  </si>
  <si>
    <t>5557578615</t>
  </si>
  <si>
    <t>UHAB SANTA FE</t>
  </si>
  <si>
    <t>VQG0003</t>
  </si>
  <si>
    <t>SANTA FE-BOSQUES</t>
  </si>
  <si>
    <t>5597579781</t>
  </si>
  <si>
    <t>CAT BOSQUES</t>
  </si>
  <si>
    <t>PUEBLO SANTA CRUZ XOCHITEPEC</t>
  </si>
  <si>
    <t>XO_0193</t>
  </si>
  <si>
    <t>5555557386</t>
  </si>
  <si>
    <t>XO_0051</t>
  </si>
  <si>
    <t>5511851982</t>
  </si>
  <si>
    <t>SAN LUCAS XOCHIMANCA</t>
  </si>
  <si>
    <t>SS_0017</t>
  </si>
  <si>
    <t>5524605072</t>
  </si>
  <si>
    <t>PASEOS DEL SUR</t>
  </si>
  <si>
    <t>XO_0123</t>
  </si>
  <si>
    <t>5559495820</t>
  </si>
  <si>
    <t>SANTIAGO TEPALCATLALPAN</t>
  </si>
  <si>
    <t>XO_0079</t>
  </si>
  <si>
    <t>5555557325</t>
  </si>
  <si>
    <t>BARRIO XALTOCAN</t>
  </si>
  <si>
    <t>XO_0073</t>
  </si>
  <si>
    <t>5555557194</t>
  </si>
  <si>
    <t>5511064563</t>
  </si>
  <si>
    <t>5517382941</t>
  </si>
  <si>
    <t>5522930598</t>
  </si>
  <si>
    <t>5523457780</t>
  </si>
  <si>
    <t>5522940504</t>
  </si>
  <si>
    <t>AMPL SAN MARCOS NORTE</t>
  </si>
  <si>
    <t>XO_0154</t>
  </si>
  <si>
    <t>5556760950</t>
  </si>
  <si>
    <t>PUEBLO TEPEPAN</t>
  </si>
  <si>
    <t>XO_0071</t>
  </si>
  <si>
    <t>5555555369</t>
  </si>
  <si>
    <t>LOMA ENCANTADA</t>
  </si>
  <si>
    <t>LRE0190</t>
  </si>
  <si>
    <t>5558584443</t>
  </si>
  <si>
    <t>SAN ANDRES AHUAYUCAN</t>
  </si>
  <si>
    <t>AD_0005</t>
  </si>
  <si>
    <t>5555484143</t>
  </si>
  <si>
    <t>AD_0006</t>
  </si>
  <si>
    <t>5555484027</t>
  </si>
  <si>
    <t>CULHUACAN CTM SECCION VI</t>
  </si>
  <si>
    <t>CL_0239</t>
  </si>
  <si>
    <t>5591295760</t>
  </si>
  <si>
    <t>15 DE AGOSTO</t>
  </si>
  <si>
    <t>AZ_0125</t>
  </si>
  <si>
    <t>5557537491</t>
  </si>
  <si>
    <t>AD_0018</t>
  </si>
  <si>
    <t>5568133831</t>
  </si>
  <si>
    <t>5558560341</t>
  </si>
  <si>
    <t>SS_0006</t>
  </si>
  <si>
    <t>5559106743</t>
  </si>
  <si>
    <t>ANCON DE LOS REYES</t>
  </si>
  <si>
    <t>LRE0120</t>
  </si>
  <si>
    <t>5558563509</t>
  </si>
  <si>
    <t>5553746530</t>
  </si>
  <si>
    <t>SAN MATEO XALPA</t>
  </si>
  <si>
    <t>SS_0007</t>
  </si>
  <si>
    <t>5524605235</t>
  </si>
  <si>
    <t>TLALCOLIGIA</t>
  </si>
  <si>
    <t>TP_0065</t>
  </si>
  <si>
    <t>5591351982</t>
  </si>
  <si>
    <t>CAT COAPA</t>
  </si>
  <si>
    <t>AD_0007</t>
  </si>
  <si>
    <t>5553746566</t>
  </si>
  <si>
    <t>LOS REYES ACAQUILPAN</t>
  </si>
  <si>
    <t>LRE0201</t>
  </si>
  <si>
    <t>5558557267</t>
  </si>
  <si>
    <t>5557536983</t>
  </si>
  <si>
    <t>BARRIO LA SANTISIMA</t>
  </si>
  <si>
    <t>XO_0086</t>
  </si>
  <si>
    <t>5555558906</t>
  </si>
  <si>
    <t>NUEVA ATZACOALCO</t>
  </si>
  <si>
    <t>AZ_0057</t>
  </si>
  <si>
    <t>5556200733</t>
  </si>
  <si>
    <t>5521273327</t>
  </si>
  <si>
    <t>XO_0236</t>
  </si>
  <si>
    <t>5555558576</t>
  </si>
  <si>
    <t>COMPOSITORES MEXICANOS</t>
  </si>
  <si>
    <t>CE_0005</t>
  </si>
  <si>
    <t>LINDAVISTA-VALLEJO</t>
  </si>
  <si>
    <t>5589086576</t>
  </si>
  <si>
    <t>CAT LINDAVISTA TICOMAN</t>
  </si>
  <si>
    <t>TAMAULIPAS ORIENTE</t>
  </si>
  <si>
    <t>TO_0051</t>
  </si>
  <si>
    <t>ZARAGOZA-NEZA</t>
  </si>
  <si>
    <t>5559497917</t>
  </si>
  <si>
    <t>CAT NEZAHUALCOYOTL</t>
  </si>
  <si>
    <t>XO_0115</t>
  </si>
  <si>
    <t>5556752022</t>
  </si>
  <si>
    <t>XO_0238</t>
  </si>
  <si>
    <t>5556412654</t>
  </si>
  <si>
    <t>LA PLANTA</t>
  </si>
  <si>
    <t>SLT0149</t>
  </si>
  <si>
    <t>5558591014</t>
  </si>
  <si>
    <t>TETLALPAN</t>
  </si>
  <si>
    <t>UY_0015</t>
  </si>
  <si>
    <t>5516734333</t>
  </si>
  <si>
    <t>CAT MIXCOAC</t>
  </si>
  <si>
    <t>EL MIRADOR</t>
  </si>
  <si>
    <t>TP_0120</t>
  </si>
  <si>
    <t>5511049544</t>
  </si>
  <si>
    <t>XO_0222</t>
  </si>
  <si>
    <t>5556538598</t>
  </si>
  <si>
    <t>PEDREGAL DE SANTO DOMINGO</t>
  </si>
  <si>
    <t>IT_0147</t>
  </si>
  <si>
    <t>5556184940</t>
  </si>
  <si>
    <t>AMPL MIGUEL HIDALGO</t>
  </si>
  <si>
    <t>HP_0037</t>
  </si>
  <si>
    <t>5556452722</t>
  </si>
  <si>
    <t>XICALHUACAN</t>
  </si>
  <si>
    <t>SU_0031</t>
  </si>
  <si>
    <t>5521571022</t>
  </si>
  <si>
    <t>XO_0220</t>
  </si>
  <si>
    <t>5556760187</t>
  </si>
  <si>
    <t>XO_0203</t>
  </si>
  <si>
    <t>5521567091</t>
  </si>
  <si>
    <t>HP_0160</t>
  </si>
  <si>
    <t>5576022147</t>
  </si>
  <si>
    <t>AMPLIACION LOMAS DE SAN BERNABE</t>
  </si>
  <si>
    <t>SBO0032</t>
  </si>
  <si>
    <t>5526504233</t>
  </si>
  <si>
    <t>HUAYATLA</t>
  </si>
  <si>
    <t>BB_0004</t>
  </si>
  <si>
    <t>5515592087</t>
  </si>
  <si>
    <t>SBO0031</t>
  </si>
  <si>
    <t>5558106532</t>
  </si>
  <si>
    <t>LA CRUZ</t>
  </si>
  <si>
    <t>PD_0125</t>
  </si>
  <si>
    <t>5516757059</t>
  </si>
  <si>
    <t>5517186980</t>
  </si>
  <si>
    <t>5556673501</t>
  </si>
  <si>
    <t>353921</t>
  </si>
  <si>
    <t>LOS PADRES</t>
  </si>
  <si>
    <t>TR_0036</t>
  </si>
  <si>
    <t>5554259354</t>
  </si>
  <si>
    <t>CENTRO</t>
  </si>
  <si>
    <t>AP_0083</t>
  </si>
  <si>
    <t>5555293997</t>
  </si>
  <si>
    <t>PLATEROS</t>
  </si>
  <si>
    <t>SRP0033</t>
  </si>
  <si>
    <t>5594643293</t>
  </si>
  <si>
    <t>SAN MATEO TLALTENANGO</t>
  </si>
  <si>
    <t>SX_0006</t>
  </si>
  <si>
    <t>5524665378</t>
  </si>
  <si>
    <t>5581647899</t>
  </si>
  <si>
    <t>5524665347</t>
  </si>
  <si>
    <t>LOMAS DE NATIVITAS</t>
  </si>
  <si>
    <t>SU_0017</t>
  </si>
  <si>
    <t>5521579787</t>
  </si>
  <si>
    <t>5556535203</t>
  </si>
  <si>
    <t>5527910658</t>
  </si>
  <si>
    <t>SBO0027</t>
  </si>
  <si>
    <t>5526505112</t>
  </si>
  <si>
    <t>FUEGO NUEVO</t>
  </si>
  <si>
    <t>CL_0023</t>
  </si>
  <si>
    <t>5557034023</t>
  </si>
  <si>
    <t>HOGAR Y REDENCION</t>
  </si>
  <si>
    <t>RX_0009</t>
  </si>
  <si>
    <t>5517134240</t>
  </si>
  <si>
    <t>CULHUACAN CTM SECCION VIII</t>
  </si>
  <si>
    <t>CL_0075</t>
  </si>
  <si>
    <t>5556955318</t>
  </si>
  <si>
    <t>PFR17-INFINITUM NEGOCIO 549</t>
  </si>
  <si>
    <t>GALEANA</t>
  </si>
  <si>
    <t>SL_0097</t>
  </si>
  <si>
    <t>5596432717</t>
  </si>
  <si>
    <t>OLIVAR DEL CONDE 2A SECCION</t>
  </si>
  <si>
    <t>RX_0002</t>
  </si>
  <si>
    <t>5517134436</t>
  </si>
  <si>
    <t>VILLA SAN ISIDRO</t>
  </si>
  <si>
    <t>AD_0009</t>
  </si>
  <si>
    <t>5555485974</t>
  </si>
  <si>
    <t>MOLINO DE SANTO DOMINGO</t>
  </si>
  <si>
    <t>TY_0001</t>
  </si>
  <si>
    <t>CONDESA-INSURGENTES</t>
  </si>
  <si>
    <t>5552738001</t>
  </si>
  <si>
    <t>CAT VALLE (MEX)</t>
  </si>
  <si>
    <t>AP_0030</t>
  </si>
  <si>
    <t>5557727376</t>
  </si>
  <si>
    <t>MARIA G DE GARCIA RUIZ</t>
  </si>
  <si>
    <t>TY_0138</t>
  </si>
  <si>
    <t>5552738346</t>
  </si>
  <si>
    <t>5552737294</t>
  </si>
  <si>
    <t>LOMAS DE CHAMONTOYA</t>
  </si>
  <si>
    <t>SBO0034</t>
  </si>
  <si>
    <t>5556479906</t>
  </si>
  <si>
    <t>XO_0089</t>
  </si>
  <si>
    <t>5523457529</t>
  </si>
  <si>
    <t>IT_0169</t>
  </si>
  <si>
    <t>5592882662</t>
  </si>
  <si>
    <t>INFONAVIT PRESIDENTE</t>
  </si>
  <si>
    <t>PRE0009</t>
  </si>
  <si>
    <t>COLORADO</t>
  </si>
  <si>
    <t>6646463041</t>
  </si>
  <si>
    <t>CAT COLORADO</t>
  </si>
  <si>
    <t>SAN JUAN</t>
  </si>
  <si>
    <t>XO_0003</t>
  </si>
  <si>
    <t>5555556377</t>
  </si>
  <si>
    <t>5516759304</t>
  </si>
  <si>
    <t>SBO0008</t>
  </si>
  <si>
    <t>5526504934</t>
  </si>
  <si>
    <t>5513341399</t>
  </si>
  <si>
    <t>BARRIO SAN ANTONIO</t>
  </si>
  <si>
    <t>XO_0093</t>
  </si>
  <si>
    <t>5513341428</t>
  </si>
  <si>
    <t>BARRIO SAN PEDRO</t>
  </si>
  <si>
    <t>XO_0132</t>
  </si>
  <si>
    <t>5511696912</t>
  </si>
  <si>
    <t>JAMAICA</t>
  </si>
  <si>
    <t>BA_2004</t>
  </si>
  <si>
    <t>5511069012</t>
  </si>
  <si>
    <t>BA_0048</t>
  </si>
  <si>
    <t>5557682379</t>
  </si>
  <si>
    <t>5558012705</t>
  </si>
  <si>
    <t>OJO DE AGUA</t>
  </si>
  <si>
    <t>5525895949</t>
  </si>
  <si>
    <t>CAT OJO DE AGUA</t>
  </si>
  <si>
    <t>LOMAS DE SAN SEBASTIAN</t>
  </si>
  <si>
    <t>ONI0039</t>
  </si>
  <si>
    <t>5515613792</t>
  </si>
  <si>
    <t>XO_0048</t>
  </si>
  <si>
    <t>5522344501</t>
  </si>
  <si>
    <t>BARRIO SAN DIEGO</t>
  </si>
  <si>
    <t>XO_0004</t>
  </si>
  <si>
    <t>5522085628</t>
  </si>
  <si>
    <t>BENITO JUAREZ SECCION 2</t>
  </si>
  <si>
    <t>MG_0174</t>
  </si>
  <si>
    <t>5551224217</t>
  </si>
  <si>
    <t>CAT MIXHUCA</t>
  </si>
  <si>
    <t>5516613670</t>
  </si>
  <si>
    <t>351040</t>
  </si>
  <si>
    <t>SS_0003</t>
  </si>
  <si>
    <t>5552053248</t>
  </si>
  <si>
    <t>SAN FRANCISCO CULHUACAN</t>
  </si>
  <si>
    <t>IX_0221</t>
  </si>
  <si>
    <t>5524730701</t>
  </si>
  <si>
    <t>BEJERO DEL PUEBLO  SANTA FE</t>
  </si>
  <si>
    <t>SF_0013</t>
  </si>
  <si>
    <t>5559227682</t>
  </si>
  <si>
    <t>CL_0241</t>
  </si>
  <si>
    <t>5570388858</t>
  </si>
  <si>
    <t>SAN ANDRES TOMATLAN</t>
  </si>
  <si>
    <t>CL_0184</t>
  </si>
  <si>
    <t>5524721038</t>
  </si>
  <si>
    <t>5551626672</t>
  </si>
  <si>
    <t>PFRA5-INFINITUM 449</t>
  </si>
  <si>
    <t>HEROES DE CHURUBUSCO</t>
  </si>
  <si>
    <t>IX_0099</t>
  </si>
  <si>
    <t>5555824369</t>
  </si>
  <si>
    <t>BARRIO SAN IGNACIO</t>
  </si>
  <si>
    <t>ES_0015</t>
  </si>
  <si>
    <t>5550871111</t>
  </si>
  <si>
    <t>SAN NICOLAS TOTOLAPAN</t>
  </si>
  <si>
    <t>HP_0180</t>
  </si>
  <si>
    <t>5543177320</t>
  </si>
  <si>
    <t>HP_0179</t>
  </si>
  <si>
    <t>5519444840</t>
  </si>
  <si>
    <t>SBO0040</t>
  </si>
  <si>
    <t>5517138169</t>
  </si>
  <si>
    <t>SANTIAGO CENTRO</t>
  </si>
  <si>
    <t>SAZ0003</t>
  </si>
  <si>
    <t>5515397216</t>
  </si>
  <si>
    <t>XU_0005</t>
  </si>
  <si>
    <t>5590300287</t>
  </si>
  <si>
    <t>5521569682</t>
  </si>
  <si>
    <t>5516439131</t>
  </si>
  <si>
    <t>5551317923</t>
  </si>
  <si>
    <t>5523455212</t>
  </si>
  <si>
    <t>AL_0084</t>
  </si>
  <si>
    <t>5596585265</t>
  </si>
  <si>
    <t>PRESIDENTES DE MEXICO</t>
  </si>
  <si>
    <t>MY_0029</t>
  </si>
  <si>
    <t>5527931094</t>
  </si>
  <si>
    <t>ML_0002</t>
  </si>
  <si>
    <t>5524830741</t>
  </si>
  <si>
    <t>SBO0009</t>
  </si>
  <si>
    <t>5524603793</t>
  </si>
  <si>
    <t>ABS0001</t>
  </si>
  <si>
    <t>5591304408</t>
  </si>
  <si>
    <t>5510386548</t>
  </si>
  <si>
    <t>VI_0042</t>
  </si>
  <si>
    <t>CENTRO CDMX</t>
  </si>
  <si>
    <t>5555180445</t>
  </si>
  <si>
    <t>CAT BELLAS ARTES</t>
  </si>
  <si>
    <t>SANTA CRUZ ACALPIXCA</t>
  </si>
  <si>
    <t>SU_0006</t>
  </si>
  <si>
    <t>5557198370</t>
  </si>
  <si>
    <t>SANTA INES</t>
  </si>
  <si>
    <t>SS_0001</t>
  </si>
  <si>
    <t>5521565210</t>
  </si>
  <si>
    <t>ZO_0141</t>
  </si>
  <si>
    <t>5558628679</t>
  </si>
  <si>
    <t>CAT CENTRO HISTORICO</t>
  </si>
  <si>
    <t>5550386441</t>
  </si>
  <si>
    <t>SAN FRANCISCO TECOXPA</t>
  </si>
  <si>
    <t>MIL0025</t>
  </si>
  <si>
    <t>5559491958</t>
  </si>
  <si>
    <t>XO_0100</t>
  </si>
  <si>
    <t>5556760306</t>
  </si>
  <si>
    <t>JA_0026</t>
  </si>
  <si>
    <t>5526073087</t>
  </si>
  <si>
    <t>CAT SANTA MARTHA</t>
  </si>
  <si>
    <t>BA_0081</t>
  </si>
  <si>
    <t>5521214451</t>
  </si>
  <si>
    <t>RICARDO FLORES MAGON</t>
  </si>
  <si>
    <t>IX_0020</t>
  </si>
  <si>
    <t>5511850748</t>
  </si>
  <si>
    <t>SS_0013</t>
  </si>
  <si>
    <t>5521559507</t>
  </si>
  <si>
    <t>MERCED BALBUENA</t>
  </si>
  <si>
    <t>ZO_0057</t>
  </si>
  <si>
    <t>5519458939</t>
  </si>
  <si>
    <t>SBO0045</t>
  </si>
  <si>
    <t>5593884153</t>
  </si>
  <si>
    <t>5555483910</t>
  </si>
  <si>
    <t>5524603795</t>
  </si>
  <si>
    <t>5515606962</t>
  </si>
  <si>
    <t>TACUBAYA</t>
  </si>
  <si>
    <t>TY_0054</t>
  </si>
  <si>
    <t>5523455965</t>
  </si>
  <si>
    <t>IT_0128</t>
  </si>
  <si>
    <t>5535433980</t>
  </si>
  <si>
    <t>IT_0042</t>
  </si>
  <si>
    <t>5596367938</t>
  </si>
  <si>
    <t>SAN JOSE ZACATEPEC</t>
  </si>
  <si>
    <t>SS_0011</t>
  </si>
  <si>
    <t>5524605040</t>
  </si>
  <si>
    <t>5511137309</t>
  </si>
  <si>
    <t>IT_0205</t>
  </si>
  <si>
    <t>5554913131</t>
  </si>
  <si>
    <t>BELVEDERE AJUSCO</t>
  </si>
  <si>
    <t>HP_0118</t>
  </si>
  <si>
    <t>5526157909</t>
  </si>
  <si>
    <t>SAN JUANICO NEXTIPAC</t>
  </si>
  <si>
    <t>IZ_0066</t>
  </si>
  <si>
    <t>5591806941</t>
  </si>
  <si>
    <t>5526157842</t>
  </si>
  <si>
    <t>ZACATON</t>
  </si>
  <si>
    <t>ZT_0008</t>
  </si>
  <si>
    <t>5591808238</t>
  </si>
  <si>
    <t>ML_0031</t>
  </si>
  <si>
    <t>5552445074</t>
  </si>
  <si>
    <t>5552456331</t>
  </si>
  <si>
    <t>CIUDAD JARDIN</t>
  </si>
  <si>
    <t>CU_0082</t>
  </si>
  <si>
    <t>5555499685</t>
  </si>
  <si>
    <t>5521565309</t>
  </si>
  <si>
    <t>351715</t>
  </si>
  <si>
    <t>PUEBLO CULHUACAN</t>
  </si>
  <si>
    <t>CL_0125</t>
  </si>
  <si>
    <t>5595608513</t>
  </si>
  <si>
    <t>PQI68-PAQUETE NEGOCIO 649</t>
  </si>
  <si>
    <t>SBO0023</t>
  </si>
  <si>
    <t>5558107022</t>
  </si>
  <si>
    <t>LA CONCHITA ZAPOTITLAN</t>
  </si>
  <si>
    <t>SAZ0014</t>
  </si>
  <si>
    <t>5558415444</t>
  </si>
  <si>
    <t>SAZ0040</t>
  </si>
  <si>
    <t>5558416979</t>
  </si>
  <si>
    <t>SAN LORENZO TEZONCO</t>
  </si>
  <si>
    <t>SLT0198</t>
  </si>
  <si>
    <t>5558409514</t>
  </si>
  <si>
    <t>TY_0007</t>
  </si>
  <si>
    <t>5552760252</t>
  </si>
  <si>
    <t>SAN GREGORIO ATLAPULCO</t>
  </si>
  <si>
    <t>SGA0006</t>
  </si>
  <si>
    <t>5558434222</t>
  </si>
  <si>
    <t>PEDREGAL DE SAN NICOLAS</t>
  </si>
  <si>
    <t>HP_0045</t>
  </si>
  <si>
    <t>5575829858</t>
  </si>
  <si>
    <t>LOMAS DE SAN LORENZO</t>
  </si>
  <si>
    <t>SLT0008</t>
  </si>
  <si>
    <t>5558598699</t>
  </si>
  <si>
    <t>5529243850</t>
  </si>
  <si>
    <t>AMPL NATIVITAS</t>
  </si>
  <si>
    <t>SU_0022</t>
  </si>
  <si>
    <t>5550854335</t>
  </si>
  <si>
    <t>JOSE LOPEZ PORTILLO</t>
  </si>
  <si>
    <t>SLT0019</t>
  </si>
  <si>
    <t>5558635589</t>
  </si>
  <si>
    <t>SAN BARTOLO AMEYALCO</t>
  </si>
  <si>
    <t>SBO0016</t>
  </si>
  <si>
    <t>5517138042</t>
  </si>
  <si>
    <t>SAN NICOLAS 2</t>
  </si>
  <si>
    <t>ZT_0006</t>
  </si>
  <si>
    <t>5528360221</t>
  </si>
  <si>
    <t>ALVARO OBREGON</t>
  </si>
  <si>
    <t>EO_0073</t>
  </si>
  <si>
    <t>5522880404</t>
  </si>
  <si>
    <t>CAT ZARAGOZA (MEX)</t>
  </si>
  <si>
    <t>ML_0028</t>
  </si>
  <si>
    <t>5543176161</t>
  </si>
  <si>
    <t>5526501639</t>
  </si>
  <si>
    <t>SBO0039</t>
  </si>
  <si>
    <t>5590811257</t>
  </si>
  <si>
    <t>348532</t>
  </si>
  <si>
    <t>5550849202</t>
  </si>
  <si>
    <t>CALZADA JALALPA</t>
  </si>
  <si>
    <t>LK_0003</t>
  </si>
  <si>
    <t>5522235863</t>
  </si>
  <si>
    <t>5590029385</t>
  </si>
  <si>
    <t>5522235901</t>
  </si>
  <si>
    <t>ML_0052</t>
  </si>
  <si>
    <t>5543176181</t>
  </si>
  <si>
    <t>5554898273</t>
  </si>
  <si>
    <t>5513122140</t>
  </si>
  <si>
    <t>XAX0001</t>
  </si>
  <si>
    <t>5555739100</t>
  </si>
  <si>
    <t>NUEVA SANTA MARIA</t>
  </si>
  <si>
    <t>SM_0032</t>
  </si>
  <si>
    <t>5555563818</t>
  </si>
  <si>
    <t>CAT CAMARONES</t>
  </si>
  <si>
    <t>5526501761</t>
  </si>
  <si>
    <t>ML_0042</t>
  </si>
  <si>
    <t>5543176219</t>
  </si>
  <si>
    <t>EL CHAMIZAL</t>
  </si>
  <si>
    <t>CM_0098</t>
  </si>
  <si>
    <t>5526101395</t>
  </si>
  <si>
    <t>CAT CHAMIZAL</t>
  </si>
  <si>
    <t>CHIMILLI</t>
  </si>
  <si>
    <t>HP_0110</t>
  </si>
  <si>
    <t>5543177194</t>
  </si>
  <si>
    <t>OLIVAR DEL CONDE 1A SECCION</t>
  </si>
  <si>
    <t>CA_0077</t>
  </si>
  <si>
    <t>5559209854</t>
  </si>
  <si>
    <t>5543177159</t>
  </si>
  <si>
    <t>XO_0001</t>
  </si>
  <si>
    <t>5557259042</t>
  </si>
  <si>
    <t>XO_0105</t>
  </si>
  <si>
    <t>5591347168</t>
  </si>
  <si>
    <t>SAN PABLO ATLAZALPAN</t>
  </si>
  <si>
    <t>SPO0008</t>
  </si>
  <si>
    <t>5558866785</t>
  </si>
  <si>
    <t>PFRA0-INFINITUM NEGOCIO 499</t>
  </si>
  <si>
    <t>CL_0189</t>
  </si>
  <si>
    <t>5591547505</t>
  </si>
  <si>
    <t>AP_0028</t>
  </si>
  <si>
    <t>5526393710</t>
  </si>
  <si>
    <t>IX_0152</t>
  </si>
  <si>
    <t>5556467489</t>
  </si>
  <si>
    <t>5556412277</t>
  </si>
  <si>
    <t>SAN FRANCISCO TLALTENCO</t>
  </si>
  <si>
    <t>SFT0016</t>
  </si>
  <si>
    <t>5526425375</t>
  </si>
  <si>
    <t>SLT0049</t>
  </si>
  <si>
    <t>5558509238</t>
  </si>
  <si>
    <t>EL MIRADOR II</t>
  </si>
  <si>
    <t>HP_0112</t>
  </si>
  <si>
    <t>5543177169</t>
  </si>
  <si>
    <t>CARLOS HANK GONZALEZ</t>
  </si>
  <si>
    <t>ONI0041</t>
  </si>
  <si>
    <t>5589086222</t>
  </si>
  <si>
    <t>349815</t>
  </si>
  <si>
    <t>ONI0059</t>
  </si>
  <si>
    <t>5589086253</t>
  </si>
  <si>
    <t>SAN LORENZO ATEMOAYA</t>
  </si>
  <si>
    <t>SU_0021</t>
  </si>
  <si>
    <t>5521573431</t>
  </si>
  <si>
    <t>5592374847</t>
  </si>
  <si>
    <t>5526135545</t>
  </si>
  <si>
    <t>GRANJAS ESMERALDA</t>
  </si>
  <si>
    <t>IX_0007</t>
  </si>
  <si>
    <t>5589899104</t>
  </si>
  <si>
    <t>5556458483</t>
  </si>
  <si>
    <t>EL RETO_O</t>
  </si>
  <si>
    <t>PO_0180</t>
  </si>
  <si>
    <t>5552665204</t>
  </si>
  <si>
    <t>5526326714</t>
  </si>
  <si>
    <t>VD_2004</t>
  </si>
  <si>
    <t>5557253854</t>
  </si>
  <si>
    <t>CAT VICTORIA</t>
  </si>
  <si>
    <t>5558621152</t>
  </si>
  <si>
    <t>SPA0013</t>
  </si>
  <si>
    <t>5517337180</t>
  </si>
  <si>
    <t>SANTA CRUZ DE GUADALUPE</t>
  </si>
  <si>
    <t>SS_0021</t>
  </si>
  <si>
    <t>5572602708</t>
  </si>
  <si>
    <t>JUVENTINO ROSAS</t>
  </si>
  <si>
    <t>MG_0122</t>
  </si>
  <si>
    <t>5523456802</t>
  </si>
  <si>
    <t>SS_0010</t>
  </si>
  <si>
    <t>5521563166</t>
  </si>
  <si>
    <t>5521563494</t>
  </si>
  <si>
    <t>5521563113</t>
  </si>
  <si>
    <t>5511072814</t>
  </si>
  <si>
    <t>SS_0020</t>
  </si>
  <si>
    <t>5521564027</t>
  </si>
  <si>
    <t>5554896077</t>
  </si>
  <si>
    <t>BARRIO SAN ANTONIO CULHUACAN</t>
  </si>
  <si>
    <t>CL_0130</t>
  </si>
  <si>
    <t>5519408457</t>
  </si>
  <si>
    <t>MG_0137</t>
  </si>
  <si>
    <t>5527951779</t>
  </si>
  <si>
    <t>5517078273</t>
  </si>
  <si>
    <t>VIADUCTO PIEDAD</t>
  </si>
  <si>
    <t>PI_0055</t>
  </si>
  <si>
    <t>5555487809</t>
  </si>
  <si>
    <t>EX HACIENDA COAPA</t>
  </si>
  <si>
    <t>VR_0105</t>
  </si>
  <si>
    <t>5526079961</t>
  </si>
  <si>
    <t>SAN ANDRES TETEPILCO</t>
  </si>
  <si>
    <t>PO_0065</t>
  </si>
  <si>
    <t>5559198141</t>
  </si>
  <si>
    <t>5521216592</t>
  </si>
  <si>
    <t>5554218773</t>
  </si>
  <si>
    <t>APATLACO</t>
  </si>
  <si>
    <t>IZ_0010</t>
  </si>
  <si>
    <t>5591806859</t>
  </si>
  <si>
    <t>EL OCOTAL</t>
  </si>
  <si>
    <t>TU_0008</t>
  </si>
  <si>
    <t>5556679257</t>
  </si>
  <si>
    <t>ML_0110</t>
  </si>
  <si>
    <t>5515182302</t>
  </si>
  <si>
    <t>GRANJAS COAPA</t>
  </si>
  <si>
    <t>CP_0142</t>
  </si>
  <si>
    <t>5556717914</t>
  </si>
  <si>
    <t>IT_0018</t>
  </si>
  <si>
    <t>5554219400</t>
  </si>
  <si>
    <t>IT_0137</t>
  </si>
  <si>
    <t>5521211801</t>
  </si>
  <si>
    <t>5556180154</t>
  </si>
  <si>
    <t>MG_0140</t>
  </si>
  <si>
    <t>5515393690</t>
  </si>
  <si>
    <t>IT_0051</t>
  </si>
  <si>
    <t>5522315723</t>
  </si>
  <si>
    <t>SX_0005</t>
  </si>
  <si>
    <t>5521255760</t>
  </si>
  <si>
    <t>5517161708</t>
  </si>
  <si>
    <t>MG_0143</t>
  </si>
  <si>
    <t>5525981072</t>
  </si>
  <si>
    <t>SX_0001</t>
  </si>
  <si>
    <t>5524665519</t>
  </si>
  <si>
    <t>5521208505</t>
  </si>
  <si>
    <t>5517161744</t>
  </si>
  <si>
    <t>CERRO DE LA ESTRELLA</t>
  </si>
  <si>
    <t>LE_0040</t>
  </si>
  <si>
    <t>5525993454</t>
  </si>
  <si>
    <t>5593396508</t>
  </si>
  <si>
    <t>SX_0008</t>
  </si>
  <si>
    <t>5524665760</t>
  </si>
  <si>
    <t>SBO0038</t>
  </si>
  <si>
    <t>5594427611</t>
  </si>
  <si>
    <t>PEDREGAL DE SANTA URSULA</t>
  </si>
  <si>
    <t>IT_0104</t>
  </si>
  <si>
    <t>5522315761</t>
  </si>
  <si>
    <t>AP_0029</t>
  </si>
  <si>
    <t>5512725999</t>
  </si>
  <si>
    <t>LOS REYES CULHUACAN</t>
  </si>
  <si>
    <t>IX_0106</t>
  </si>
  <si>
    <t>5513156447</t>
  </si>
  <si>
    <t>5524652211</t>
  </si>
  <si>
    <t>5550854349</t>
  </si>
  <si>
    <t>AMPL NATIVITAS LA JOYA</t>
  </si>
  <si>
    <t>AD_0013</t>
  </si>
  <si>
    <t>5522088611</t>
  </si>
  <si>
    <t>LOS PICOS VI-B</t>
  </si>
  <si>
    <t>MG_0146</t>
  </si>
  <si>
    <t>5550385256</t>
  </si>
  <si>
    <t>SAN JUAN BAUTISTA</t>
  </si>
  <si>
    <t>HUX0028</t>
  </si>
  <si>
    <t>LERMA</t>
  </si>
  <si>
    <t>5515475993</t>
  </si>
  <si>
    <t>CAT LERMA</t>
  </si>
  <si>
    <t>MIGUEL HIDALGO</t>
  </si>
  <si>
    <t>SAZ0016</t>
  </si>
  <si>
    <t>5558416871</t>
  </si>
  <si>
    <t>SANTIAGO YANCUITLALPAN</t>
  </si>
  <si>
    <t>SYI0004</t>
  </si>
  <si>
    <t>5550384561</t>
  </si>
  <si>
    <t>DEL MAR</t>
  </si>
  <si>
    <t>SLT0076</t>
  </si>
  <si>
    <t>5558505395</t>
  </si>
  <si>
    <t>CUAJIMALPA</t>
  </si>
  <si>
    <t>CUJ0108</t>
  </si>
  <si>
    <t>5581646651</t>
  </si>
  <si>
    <t>325078</t>
  </si>
  <si>
    <t>5556174390</t>
  </si>
  <si>
    <t>IT_0010</t>
  </si>
  <si>
    <t>5556184038</t>
  </si>
  <si>
    <t>SAN PABLO CHIMALPA</t>
  </si>
  <si>
    <t>SP_0003</t>
  </si>
  <si>
    <t>5581643421</t>
  </si>
  <si>
    <t>344157</t>
  </si>
  <si>
    <t>IT_0032</t>
  </si>
  <si>
    <t>5556185394</t>
  </si>
  <si>
    <t>PUEBLO SANTA CECILIA TEPETLAPA</t>
  </si>
  <si>
    <t>AD_0001</t>
  </si>
  <si>
    <t>5563772143</t>
  </si>
  <si>
    <t>5559297078</t>
  </si>
  <si>
    <t>AD_0002</t>
  </si>
  <si>
    <t>5511137312</t>
  </si>
  <si>
    <t>AD_0003</t>
  </si>
  <si>
    <t>5559297099</t>
  </si>
  <si>
    <t>5556179355</t>
  </si>
  <si>
    <t>5556413904</t>
  </si>
  <si>
    <t>5555559599</t>
  </si>
  <si>
    <t>5556413431</t>
  </si>
  <si>
    <t>5593879533</t>
  </si>
  <si>
    <t>5555558619</t>
  </si>
  <si>
    <t>LA JOYA</t>
  </si>
  <si>
    <t>AG_0143</t>
  </si>
  <si>
    <t>5557716381</t>
  </si>
  <si>
    <t>5558105562</t>
  </si>
  <si>
    <t>SBO0010</t>
  </si>
  <si>
    <t>5558108548</t>
  </si>
  <si>
    <t>5591749062</t>
  </si>
  <si>
    <t>BARRIO SAN MARCOS</t>
  </si>
  <si>
    <t>XO_0062</t>
  </si>
  <si>
    <t>5555555351</t>
  </si>
  <si>
    <t>ML_0096</t>
  </si>
  <si>
    <t>5552445156</t>
  </si>
  <si>
    <t>LA CARBONERA</t>
  </si>
  <si>
    <t>XU_0004</t>
  </si>
  <si>
    <t>5515431807</t>
  </si>
  <si>
    <t>REFORMA IZTACCIHUATL SUR</t>
  </si>
  <si>
    <t>PO_0132</t>
  </si>
  <si>
    <t>5586246471</t>
  </si>
  <si>
    <t>5543176015</t>
  </si>
  <si>
    <t>GUERRERO</t>
  </si>
  <si>
    <t>AP_0026</t>
  </si>
  <si>
    <t>5530929161</t>
  </si>
  <si>
    <t>MG_0144</t>
  </si>
  <si>
    <t>5529564734</t>
  </si>
  <si>
    <t>LORENZO BOTURINI</t>
  </si>
  <si>
    <t>BA_0051</t>
  </si>
  <si>
    <t>5557252452</t>
  </si>
  <si>
    <t>HP_0069</t>
  </si>
  <si>
    <t>5556444677</t>
  </si>
  <si>
    <t>HP_0159</t>
  </si>
  <si>
    <t>5556443551</t>
  </si>
  <si>
    <t>5556443529</t>
  </si>
  <si>
    <t>5556319295</t>
  </si>
  <si>
    <t>AMPL VERACRUZANA</t>
  </si>
  <si>
    <t>ES_0169</t>
  </si>
  <si>
    <t>5556868730</t>
  </si>
  <si>
    <t>BA_0082</t>
  </si>
  <si>
    <t>5557252453</t>
  </si>
  <si>
    <t>HP_0084</t>
  </si>
  <si>
    <t>5556443647</t>
  </si>
  <si>
    <t>SS_0019</t>
  </si>
  <si>
    <t>5521563088</t>
  </si>
  <si>
    <t>5556452259</t>
  </si>
  <si>
    <t>XO_0061</t>
  </si>
  <si>
    <t>5555559504</t>
  </si>
  <si>
    <t>TLAXIXILCO</t>
  </si>
  <si>
    <t>TW_0001</t>
  </si>
  <si>
    <t>5551311419</t>
  </si>
  <si>
    <t>5521563650</t>
  </si>
  <si>
    <t>GOLONDRINAS</t>
  </si>
  <si>
    <t>EY_0009</t>
  </si>
  <si>
    <t>5521203335</t>
  </si>
  <si>
    <t>ML_0082</t>
  </si>
  <si>
    <t>5557022635</t>
  </si>
  <si>
    <t>MIRAMAR</t>
  </si>
  <si>
    <t>HU_0031</t>
  </si>
  <si>
    <t>POLANCO-CHAPULTEPEC</t>
  </si>
  <si>
    <t>5552454053</t>
  </si>
  <si>
    <t>CAT SOTELO</t>
  </si>
  <si>
    <t>5556411510</t>
  </si>
  <si>
    <t>5555559302</t>
  </si>
  <si>
    <t>5517152198</t>
  </si>
  <si>
    <t>SAN RAFAEL CHAMAPA</t>
  </si>
  <si>
    <t>HC_0028</t>
  </si>
  <si>
    <t>NAUCALPAN-MOLINO</t>
  </si>
  <si>
    <t>5553024367</t>
  </si>
  <si>
    <t>5556750360</t>
  </si>
  <si>
    <t>IT_0149</t>
  </si>
  <si>
    <t>5513830587</t>
  </si>
  <si>
    <t>ZO_0159</t>
  </si>
  <si>
    <t>5557256173</t>
  </si>
  <si>
    <t>AP_0034</t>
  </si>
  <si>
    <t>5555266735</t>
  </si>
  <si>
    <t>5553746547</t>
  </si>
  <si>
    <t>ML_0115</t>
  </si>
  <si>
    <t>5557899897</t>
  </si>
  <si>
    <t>PEDREGAL DE CARRASCO</t>
  </si>
  <si>
    <t>CR_0031</t>
  </si>
  <si>
    <t>5556068356</t>
  </si>
  <si>
    <t>5522085862</t>
  </si>
  <si>
    <t>5554897496</t>
  </si>
  <si>
    <t>5554218120</t>
  </si>
  <si>
    <t>STA CRUZ ACALPIXCA-BARRIO TEJOMULCO-</t>
  </si>
  <si>
    <t>SU_0002</t>
  </si>
  <si>
    <t>5522375728</t>
  </si>
  <si>
    <t>LA OLIMPICA</t>
  </si>
  <si>
    <t>HC_0073</t>
  </si>
  <si>
    <t>5512036227</t>
  </si>
  <si>
    <t>IT_0139</t>
  </si>
  <si>
    <t>5589884126</t>
  </si>
  <si>
    <t>MN_0022</t>
  </si>
  <si>
    <t>5511065039</t>
  </si>
  <si>
    <t>5522375781</t>
  </si>
  <si>
    <t>RFK0006</t>
  </si>
  <si>
    <t>5550874571</t>
  </si>
  <si>
    <t>TLATEL XOCHITENCO</t>
  </si>
  <si>
    <t>AEY0010</t>
  </si>
  <si>
    <t>5515397736</t>
  </si>
  <si>
    <t>BARRIO SAN LORENZO</t>
  </si>
  <si>
    <t>XO_0182</t>
  </si>
  <si>
    <t>5522085546</t>
  </si>
  <si>
    <t>5550873837</t>
  </si>
  <si>
    <t>SAN SALVADOR CUAUHTENCO</t>
  </si>
  <si>
    <t>SPC0015</t>
  </si>
  <si>
    <t>5515492007</t>
  </si>
  <si>
    <t>LA CEBADA</t>
  </si>
  <si>
    <t>XO_0170</t>
  </si>
  <si>
    <t>5517174025</t>
  </si>
  <si>
    <t>IT_0087</t>
  </si>
  <si>
    <t>5516759269</t>
  </si>
  <si>
    <t>5528362492</t>
  </si>
  <si>
    <t>DEL SOL</t>
  </si>
  <si>
    <t>TO_0062</t>
  </si>
  <si>
    <t>5516591110</t>
  </si>
  <si>
    <t>SPC2001</t>
  </si>
  <si>
    <t>5515492065</t>
  </si>
  <si>
    <t>SS_0015</t>
  </si>
  <si>
    <t>5524605274</t>
  </si>
  <si>
    <t>XO_0041</t>
  </si>
  <si>
    <t>5523457898</t>
  </si>
  <si>
    <t>SS_0008</t>
  </si>
  <si>
    <t>5552053186</t>
  </si>
  <si>
    <t>SS_0002</t>
  </si>
  <si>
    <t>5552053001</t>
  </si>
  <si>
    <t>EL OLIVAR</t>
  </si>
  <si>
    <t>NA_0058</t>
  </si>
  <si>
    <t>5523456222</t>
  </si>
  <si>
    <t>ML_2000</t>
  </si>
  <si>
    <t>5522117238</t>
  </si>
  <si>
    <t>5522117236</t>
  </si>
  <si>
    <t>5521565901</t>
  </si>
  <si>
    <t>AP_0043</t>
  </si>
  <si>
    <t>5511698575</t>
  </si>
  <si>
    <t>5521562247</t>
  </si>
  <si>
    <t>5521565329</t>
  </si>
  <si>
    <t>XO_0181</t>
  </si>
  <si>
    <t>5552042933</t>
  </si>
  <si>
    <t>FUENTES DE TEPEPAN</t>
  </si>
  <si>
    <t>EM_0007</t>
  </si>
  <si>
    <t>5596827043</t>
  </si>
  <si>
    <t>5591297517</t>
  </si>
  <si>
    <t>SGA0022</t>
  </si>
  <si>
    <t>5528680995</t>
  </si>
  <si>
    <t>5522875505</t>
  </si>
  <si>
    <t>SANTA MARIA TOMATLAN</t>
  </si>
  <si>
    <t>CL_0245</t>
  </si>
  <si>
    <t>5524652832</t>
  </si>
  <si>
    <t>LA NOPALERA</t>
  </si>
  <si>
    <t>SLT0037</t>
  </si>
  <si>
    <t>5526073993</t>
  </si>
  <si>
    <t>TACUBA</t>
  </si>
  <si>
    <t>TA_0067</t>
  </si>
  <si>
    <t>VERONICA</t>
  </si>
  <si>
    <t>5553860758</t>
  </si>
  <si>
    <t>5558107162</t>
  </si>
  <si>
    <t>LAS CRUCES</t>
  </si>
  <si>
    <t>BB_0013</t>
  </si>
  <si>
    <t>5515592351</t>
  </si>
  <si>
    <t>5577056378</t>
  </si>
  <si>
    <t>MC</t>
  </si>
  <si>
    <t>ABIERTA</t>
  </si>
  <si>
    <t>0000000000</t>
  </si>
  <si>
    <t>5596457979</t>
  </si>
  <si>
    <t>5557480771</t>
  </si>
  <si>
    <t>5598996826</t>
  </si>
  <si>
    <t>PS</t>
  </si>
  <si>
    <t>5593160105</t>
  </si>
  <si>
    <t>TL</t>
  </si>
  <si>
    <t>5513268108</t>
  </si>
  <si>
    <t>5594283285</t>
  </si>
  <si>
    <t>5557256766</t>
  </si>
  <si>
    <t>5552048930</t>
  </si>
  <si>
    <t>CD</t>
  </si>
  <si>
    <t>5555551884</t>
  </si>
  <si>
    <t>PM</t>
  </si>
  <si>
    <t>5590108812</t>
  </si>
  <si>
    <t>5556319274</t>
  </si>
  <si>
    <t>5559253347</t>
  </si>
  <si>
    <t>5527933467</t>
  </si>
  <si>
    <t>5595687977</t>
  </si>
  <si>
    <t>5556324391</t>
  </si>
  <si>
    <t>5575724180</t>
  </si>
  <si>
    <t>5588635885</t>
  </si>
  <si>
    <t>5556673148</t>
  </si>
  <si>
    <t>5526501251</t>
  </si>
  <si>
    <t>5557024159</t>
  </si>
  <si>
    <t>5552572909</t>
  </si>
  <si>
    <t>5592327103</t>
  </si>
  <si>
    <t>5583776658</t>
  </si>
  <si>
    <t>5596379682</t>
  </si>
  <si>
    <t>5552723008</t>
  </si>
  <si>
    <t>5590494138</t>
  </si>
  <si>
    <t>IM</t>
  </si>
  <si>
    <t>5591549092</t>
  </si>
  <si>
    <t>5555552061</t>
  </si>
  <si>
    <t>5588851404</t>
  </si>
  <si>
    <t>5581645417</t>
  </si>
  <si>
    <t>9F</t>
  </si>
  <si>
    <t>CAT SANTIAGO TIANGUISTENCO</t>
  </si>
  <si>
    <t>5587180862</t>
  </si>
  <si>
    <t>5515795260</t>
  </si>
  <si>
    <t>5556567471</t>
  </si>
  <si>
    <t>5550872521</t>
  </si>
  <si>
    <t>5589837450</t>
  </si>
  <si>
    <t>5594987644</t>
  </si>
  <si>
    <t>5563787593</t>
  </si>
  <si>
    <t>5522233523</t>
  </si>
  <si>
    <t>5528360134</t>
  </si>
  <si>
    <t>CIUDAD SATELITE-SAN MATEO</t>
  </si>
  <si>
    <t>CAT SATELITE</t>
  </si>
  <si>
    <t>SATELITE</t>
  </si>
  <si>
    <t>5525943468</t>
  </si>
  <si>
    <t>5595921436</t>
  </si>
  <si>
    <t>5568394641</t>
  </si>
  <si>
    <t>5598999326</t>
  </si>
  <si>
    <t>5590566103</t>
  </si>
  <si>
    <t>5515794912</t>
  </si>
  <si>
    <t>CAT POLANCO</t>
  </si>
  <si>
    <t>5570216692</t>
  </si>
  <si>
    <t>5576752273</t>
  </si>
  <si>
    <t>5524665541</t>
  </si>
  <si>
    <t>5594233099</t>
  </si>
  <si>
    <t>5593710411</t>
  </si>
  <si>
    <t>PQI70-PAQUETE 725</t>
  </si>
  <si>
    <t>5588697631</t>
  </si>
  <si>
    <t>5557892461</t>
  </si>
  <si>
    <t>5556412870</t>
  </si>
  <si>
    <t>5554416868</t>
  </si>
  <si>
    <t>5556336749</t>
  </si>
  <si>
    <t>5528362494</t>
  </si>
  <si>
    <t>5588696254</t>
  </si>
  <si>
    <t>5595731905</t>
  </si>
  <si>
    <t>5515458649</t>
  </si>
  <si>
    <t>CAT PERALVILLO</t>
  </si>
  <si>
    <t>DISTRITO</t>
  </si>
  <si>
    <t>Observaciones Telmex</t>
  </si>
  <si>
    <t>ZONA</t>
  </si>
  <si>
    <t>Folio</t>
  </si>
  <si>
    <t>Fecha</t>
  </si>
  <si>
    <t>PISA_E</t>
  </si>
  <si>
    <t>PAGO GERENTE</t>
  </si>
  <si>
    <t>PAGO PROMOTOR</t>
  </si>
  <si>
    <t>C TEPOZANES 1 XOCHIMILCO SAN MATEO XALPA 16800</t>
  </si>
  <si>
    <t>cperedcarlos34@gmail.com</t>
  </si>
  <si>
    <t>Paq. $479 (50 Mb)</t>
  </si>
  <si>
    <t>ACTIVO</t>
  </si>
  <si>
    <t>Zuriel</t>
  </si>
  <si>
    <t>CIUDAD DE MEXICO</t>
  </si>
  <si>
    <t xml:space="preserve">CAT XOCHIMILCO                     </t>
  </si>
  <si>
    <t>PEREZ DOMINGUEZ CARLOS</t>
  </si>
  <si>
    <t>CRISTINA RUIZ</t>
  </si>
  <si>
    <t>MARNA IMAGEN CREATIVA</t>
  </si>
  <si>
    <t>ORQUIDEA 10 IZTAPALAPA LOMAS DE SAN LORENZO 09780</t>
  </si>
  <si>
    <t>rosassergioo085@gmail.com</t>
  </si>
  <si>
    <t>Paq. $649 (300 Mb)</t>
  </si>
  <si>
    <t>INACTIVO</t>
  </si>
  <si>
    <t xml:space="preserve">CAT CULHUACAN                      </t>
  </si>
  <si>
    <t>FRAGOSO SANCHEZ MARTHA ARIADNA</t>
  </si>
  <si>
    <t>ANACAHUITA 178 COYOACAN PEDREGAL DE SANTO DOMINGO 04369</t>
  </si>
  <si>
    <t>lucasrene30235@gmail.com</t>
  </si>
  <si>
    <t xml:space="preserve">CAT UNIVERSIDAD                    </t>
  </si>
  <si>
    <t>LOPEZ LUCAS RENE PABLO</t>
  </si>
  <si>
    <t>Lunes (1)</t>
  </si>
  <si>
    <t>ORFEBRES 0 CHIMALHUACAN TLATEL XOCHITENCO 56366</t>
  </si>
  <si>
    <t>hdz.abril@iclodd.com</t>
  </si>
  <si>
    <t>Naked Neg 200</t>
  </si>
  <si>
    <t xml:space="preserve">CAT CHIMALHUACAN                   </t>
  </si>
  <si>
    <t>ARANDA ZAMORA MARIA DE LOURDES</t>
  </si>
  <si>
    <t>NO RESIDENCIAL</t>
  </si>
  <si>
    <t>REPU DE COLOMBIA 27 CUAUHTEMOC CENTRO (AREA 2) 06010</t>
  </si>
  <si>
    <t>cadir9424@gmail.com</t>
  </si>
  <si>
    <t>Naked $439</t>
  </si>
  <si>
    <t xml:space="preserve">CAT BELLAS ARTES                   </t>
  </si>
  <si>
    <t>HERNANDEZ FERNANDEZ ROBERTO MI</t>
  </si>
  <si>
    <t>REPUBLICA DE COSTARICA COLONIA CENTRO 26 CUAUHTEMOC CENTRO (AREA 3) 06020</t>
  </si>
  <si>
    <t>ricardosalazargaspar@gmail.com</t>
  </si>
  <si>
    <t xml:space="preserve">CAT MALINCHE                       </t>
  </si>
  <si>
    <t>LOPEZ HERRERA ARTURO</t>
  </si>
  <si>
    <t>Martes (2)</t>
  </si>
  <si>
    <t>AVENIDA GUADALUPE RAMIREZ 28 XOCHIMILCO BARRIO SAN ANTONIO 16000</t>
  </si>
  <si>
    <t>endyvelazquez48@gmail.com</t>
  </si>
  <si>
    <t>VELAZQUEZ ROSALES ENDY</t>
  </si>
  <si>
    <t>Viernes (5)</t>
  </si>
  <si>
    <t>ALTUNA 4 CUAUHTEMOC CENTRO (AREA 2) 06010</t>
  </si>
  <si>
    <t>sorianomar902@gmail.com</t>
  </si>
  <si>
    <t>Pq. Conectes Neg</t>
  </si>
  <si>
    <t>SORIANO ABARROTES</t>
  </si>
  <si>
    <t>Miercoles (3)</t>
  </si>
  <si>
    <t>2DA DE ALLENDE 23 ALVARO OBREGON JALALPA TEPITO 01296</t>
  </si>
  <si>
    <t>suleimabuenrostro@gmail.com</t>
  </si>
  <si>
    <t xml:space="preserve">CAT BOSQUES                        </t>
  </si>
  <si>
    <t>BUENROSTRO ACOSTA LUIS ENRIQUE</t>
  </si>
  <si>
    <t>Saturday</t>
  </si>
  <si>
    <t>CELAYA 0 XOCHIMILCO TLAXOPAN 1A SECCION 16240</t>
  </si>
  <si>
    <t>celisjavier32@gmail.com</t>
  </si>
  <si>
    <t xml:space="preserve">CAT TLAHUAC                        </t>
  </si>
  <si>
    <t>MARQUEZ ORDUNO GABRIEL</t>
  </si>
  <si>
    <t>ULTIMA CENTENARIO 10 ALVARO OBREGON SANTA ROSA XOCHIAC 01830</t>
  </si>
  <si>
    <t>cumplidor730@gmail.com</t>
  </si>
  <si>
    <t>Paq. $389 (50 Mb)</t>
  </si>
  <si>
    <t xml:space="preserve">CAT CUAJIMALPA                     </t>
  </si>
  <si>
    <t>CUMPLIDO RAMIREZ RAUL</t>
  </si>
  <si>
    <t>DALIAS 111 COYOACAN PEDREGAL DE SANTO DOMINGO 04369</t>
  </si>
  <si>
    <t>aslogan@hotmail.com</t>
  </si>
  <si>
    <t xml:space="preserve">CAT INSURGENTES                    </t>
  </si>
  <si>
    <t>TORRES DOMINGUEZ MARIA AZUCENA</t>
  </si>
  <si>
    <t>FERROCARRIL DE CUERNAVACA 24 LA MAGDALENA CONTRERAS BARRIO SAN FRANCISCO 10500</t>
  </si>
  <si>
    <t>hek20alva@gmail.com</t>
  </si>
  <si>
    <t>Naked 50 ($349)</t>
  </si>
  <si>
    <t xml:space="preserve">CAT LORETO (MEX)                   </t>
  </si>
  <si>
    <t>ALVAREZ JUAREZ HERCTORMIGUEL</t>
  </si>
  <si>
    <t>Thursday</t>
  </si>
  <si>
    <t>1ER CALLEJON CALVARIO 7 TLAHUAC SELENE 13420</t>
  </si>
  <si>
    <t>alfaroesmeralda744@gmail.com</t>
  </si>
  <si>
    <t>ALFARO GARCIA FLOR ESMERALDA</t>
  </si>
  <si>
    <t>CARAPAN 3 IZTAPALAPA BENITO JUAREZ 09859</t>
  </si>
  <si>
    <t>molinaherreradianaguadalupe@gmail.com</t>
  </si>
  <si>
    <t>Paq. $435 (60 Mb)</t>
  </si>
  <si>
    <t>HERRERA POLINA MARIA INEZ</t>
  </si>
  <si>
    <t>CERRADA DE VALDEZ 0 ALVARO OBREGON CALZADA JALALPA 01260</t>
  </si>
  <si>
    <t>saradaniela110524@gmail.com</t>
  </si>
  <si>
    <t>FLORES HERNANDEZ DANIEL</t>
  </si>
  <si>
    <t>Jueves (4)</t>
  </si>
  <si>
    <t>SAN CIPRIANO 59 VENUSTIANO CARRANZA ZONA CENTRO 15100</t>
  </si>
  <si>
    <t>davivales556@gmail.com</t>
  </si>
  <si>
    <t>CARJ</t>
  </si>
  <si>
    <t>TLAPATONGO 14 IZTAPALAPA SAN LORENZO TEZONCO 09790</t>
  </si>
  <si>
    <t>joelos0071@gmail.com</t>
  </si>
  <si>
    <t>Paq. $499 (100 Mb)</t>
  </si>
  <si>
    <t>ORTIZ CAMACHO JOEL</t>
  </si>
  <si>
    <t>CALLE MEZCLAN 6 XOCHIMILCO SAN LUCAS XOCHIMANCA 16300</t>
  </si>
  <si>
    <t>lh8678825@gmail.com</t>
  </si>
  <si>
    <t>HERNANDEZ ALMARAZ LUIS ENRIQUE</t>
  </si>
  <si>
    <t>FERROCARRIL 7 LA MAGDALENA CONTRERAS SAN NICOLAS TOTOLAPAN 10900</t>
  </si>
  <si>
    <t>eduardoguerrerotovar973@gmail.com</t>
  </si>
  <si>
    <t>Naked Neg 50</t>
  </si>
  <si>
    <t xml:space="preserve">CAT PLAZA INBURSA                  </t>
  </si>
  <si>
    <t>EDUARDO GUERRERO TOVAR</t>
  </si>
  <si>
    <t>CANAL DE APATLACO 225 IZTAPALAPA APATLACO 09430</t>
  </si>
  <si>
    <t>karinamurrieta1718@gmail.com</t>
  </si>
  <si>
    <t>Naked 80 ($399)</t>
  </si>
  <si>
    <t xml:space="preserve">CAT MIXHUCA                        </t>
  </si>
  <si>
    <t>MURRIETA ALVARADO KARINA LILIA</t>
  </si>
  <si>
    <t>CANAL DE TEZONTLE 1 IZTACALCO LOS PICOS DE IZTACALCO SECCION 1A 08770</t>
  </si>
  <si>
    <t>salvadorcanoherrnandez@gmail.com</t>
  </si>
  <si>
    <t>CANO HERNANDEZ SALVADOR</t>
  </si>
  <si>
    <t>MARTIN CARRERA 18 IZTACALCO CAMPAMENTO 2 DE OCTUBRE 08930</t>
  </si>
  <si>
    <t>sirena-word@hotmail.com</t>
  </si>
  <si>
    <t>Paq. $750 (500 Mb)</t>
  </si>
  <si>
    <t>ROJAS MORAN BLANCA ESTER</t>
  </si>
  <si>
    <t>OJO DE AGUA 2 LA MAGDALENA CONTRERAS HUAYATLA 10360</t>
  </si>
  <si>
    <t>tapiapao2020@gmail.com</t>
  </si>
  <si>
    <t>GARCIA LOPEZ BULMARO</t>
  </si>
  <si>
    <t>Sabado (6)</t>
  </si>
  <si>
    <t>mejialine99@gmail.com</t>
  </si>
  <si>
    <t>BELLEZA NAILS</t>
  </si>
  <si>
    <t>TERCERA CERRADA DE CIRUELOS 1 XOCHIMILCO SANTA MARIA NATIVITAS 16450</t>
  </si>
  <si>
    <t>abymolinah111@gmail.com</t>
  </si>
  <si>
    <t>MOLINA HERNANDEZ ABYGAIL</t>
  </si>
  <si>
    <t>angelesgemela20@gmail.com</t>
  </si>
  <si>
    <t>MARIA DE LOS ANGELES GONZALEZ</t>
  </si>
  <si>
    <t>Domingo (7)</t>
  </si>
  <si>
    <t>TOLTECAS 0 CUAUHTEMOC MORELOS 06200</t>
  </si>
  <si>
    <t>anet.selaron@gmail.com</t>
  </si>
  <si>
    <t>JORGE TENA JADE MAYRIN</t>
  </si>
  <si>
    <t>CARLOS BOSSUT 15 IZTAPALAPA SAN ANDRES TOMATLAN 09870</t>
  </si>
  <si>
    <t>alegriasolid@gmail.com</t>
  </si>
  <si>
    <t>SANCHEZ GARCIA GENESIS JHARLIN</t>
  </si>
  <si>
    <t>PLAZA DE LA CONCEPCION 3 CUAUHTEMOC CENTRO (AREA 2) 06010</t>
  </si>
  <si>
    <t>lm4718701@gmail.com</t>
  </si>
  <si>
    <t>Naked Neg 250 ($499)</t>
  </si>
  <si>
    <t>MAYRA LIZBET MACIAS RODRIGUEZ</t>
  </si>
  <si>
    <t>CERRADA IXNAHUALTONGO 99 VENUSTIANO CARRANZA MERCED BALBUENA 15810</t>
  </si>
  <si>
    <t>og145908@gmail.com</t>
  </si>
  <si>
    <t xml:space="preserve">CAT BALBUENA                       </t>
  </si>
  <si>
    <t>GUERRERO GAYOSO OMAR</t>
  </si>
  <si>
    <t>SIRENA 48 TLAHUAC DEL MAR 13270</t>
  </si>
  <si>
    <t>correapersonel@gmail.com</t>
  </si>
  <si>
    <t>CORREA RODRIGUEZ ALEJANDRO</t>
  </si>
  <si>
    <t>CERCA DE MIGAJAS LA GUERA 12 CUAUHTEMOC MORELOS 06200</t>
  </si>
  <si>
    <t>joelantoniotejada26@gmail.com</t>
  </si>
  <si>
    <t xml:space="preserve">CAT PARQUE VIA                     </t>
  </si>
  <si>
    <t>ANTONIO TEJADA JOEL</t>
  </si>
  <si>
    <t>XOCHIMILCO 45 XOCHIMILCO SANTA CRUZ XOCHITEPEC 16100</t>
  </si>
  <si>
    <t>alcantaradiana95@gmail.com</t>
  </si>
  <si>
    <t>ALCANTARA ENRIQUEZ GUSTSVO</t>
  </si>
  <si>
    <t>JOSE MARIA VIGIL 5 IZTACALCO CAMPAMENTO 2 DE OCTUBRE 08930</t>
  </si>
  <si>
    <t>tabaresmari10@gmail.com</t>
  </si>
  <si>
    <t>JUAREZ TABARES MARGARITA</t>
  </si>
  <si>
    <t>SANTA MARIA 13 IZTAPALAPA APATLACO 09430</t>
  </si>
  <si>
    <t>vanessamartinez69408@gmail.com</t>
  </si>
  <si>
    <t>MARTINEZ FLORES DOLORES VANESS</t>
  </si>
  <si>
    <t>AV TEXCOCO 0 IZTAPALAPA SANTA MARTHA ACATITLA 09510</t>
  </si>
  <si>
    <t>ricarfosoriano@gmail.com</t>
  </si>
  <si>
    <t xml:space="preserve">CAT SANTA MARTHA                   </t>
  </si>
  <si>
    <t>RICARDO SO</t>
  </si>
  <si>
    <t>AMPLIACION TEJOCOTES 9 XOCHIMILCO AMPLIACION SAN MARCOS NORTE 16038</t>
  </si>
  <si>
    <t>danielachavez3112@gmail.com</t>
  </si>
  <si>
    <t>CHAVEZ HERNANDEZ DANIELA EDITH</t>
  </si>
  <si>
    <t>PRIMERO DE ENERO 3 LA PAZ RICARDO FLORES MAGON 56524</t>
  </si>
  <si>
    <t>yamiletfernandezarieta@gmail.com</t>
  </si>
  <si>
    <t xml:space="preserve">CAT LOS REYES (MEX)                </t>
  </si>
  <si>
    <t>HUERTA VICTOR ORLANDO GRACIDA</t>
  </si>
  <si>
    <t>fannyy.lemus0@gmail.com</t>
  </si>
  <si>
    <t>MENDEZ IRVING MOISES CASTREJON</t>
  </si>
  <si>
    <t>XOCHIMILCO 28 XOCHIMILCO SANTA CRUZ XOCHITEPEC 16100</t>
  </si>
  <si>
    <t>cavezveronica1323@gmail.com</t>
  </si>
  <si>
    <t>CHAVEZ LEOCADIO VERONICA</t>
  </si>
  <si>
    <t>ILAMA 9 COYOACAN PEDREGAL DE SANTO DOMINGO 04369</t>
  </si>
  <si>
    <t>barronchavezsergio6@gmail.com</t>
  </si>
  <si>
    <t>BARRON CHAVEZ SERGIO</t>
  </si>
  <si>
    <t>GARDENIAS 13 TLALPAN MIRADOR I 14748</t>
  </si>
  <si>
    <t>jramirezaquino@hotmail.com</t>
  </si>
  <si>
    <t>JOSE ALEJANDRO AQUINO RAMIREZ</t>
  </si>
  <si>
    <t>Monday</t>
  </si>
  <si>
    <t>VEREDA ALCANFORES 7 XOCHIMILCO SANTA MARIA NATIVITAS 16450</t>
  </si>
  <si>
    <t>xareniaylin12@gmail.com</t>
  </si>
  <si>
    <t>MARIA GUADALUPE CERVANTES CRUZ</t>
  </si>
  <si>
    <t>LERDO DE TEJADA 5 IZTACALCO CAMPAMENTO 2 DE OCTUBRE 08930</t>
  </si>
  <si>
    <t>cadenaitzelyoselin@gmail.com</t>
  </si>
  <si>
    <t>CADENA ARVIZU MARIA EUGENIA</t>
  </si>
  <si>
    <t>jimesorix@gmail.com</t>
  </si>
  <si>
    <t>JIMENA CARMONA SORIANO</t>
  </si>
  <si>
    <t>RODOLFO DISEL 25 IZTAPALAPA SAN ANDRES TOMATLAN 09870</t>
  </si>
  <si>
    <t>nenaalvarezgro@gmail.com</t>
  </si>
  <si>
    <t>ALVAREZ GUERRERO MARIA ELENA</t>
  </si>
  <si>
    <t>XOCHIAPAN 108 COYOACAN PEDREGAL DE SANTO DOMINGO 04369</t>
  </si>
  <si>
    <t>dreams.rap.96@gmail.com</t>
  </si>
  <si>
    <t>REYES NUNEZ LUIS ENRIQUE</t>
  </si>
  <si>
    <t>CHIAPAS 65 ECATEPEC DE MORELOS EL CHAMIZAL 00000</t>
  </si>
  <si>
    <t>alejandravaazquez203@gmail.com</t>
  </si>
  <si>
    <t xml:space="preserve">CAT CHAMIZAL                       </t>
  </si>
  <si>
    <t>VAZQUEZ TAPIA LUIS EDUARDO</t>
  </si>
  <si>
    <t>OSA MAYOR 49 COYOACAN PRADO CHURUBUSCO 04230</t>
  </si>
  <si>
    <t>cereceroabril9@gmail.com</t>
  </si>
  <si>
    <t xml:space="preserve">CAT PORTALES                       </t>
  </si>
  <si>
    <t>DE IBARRONDO ABRIL CERECERO</t>
  </si>
  <si>
    <t>AZTECAS 47 CUAUHTEMOC MORELOS 06200</t>
  </si>
  <si>
    <t>sanchezmartinezeduardo67@gmail.com</t>
  </si>
  <si>
    <t>SANCHEZ MARTINEZ EDUARDO</t>
  </si>
  <si>
    <t>CIPRESES 78 XOCHIMILCO AMPLIACION SAN MARCOS NORTE 16038</t>
  </si>
  <si>
    <t>micatalina2@gmail.com</t>
  </si>
  <si>
    <t>MIRANDA FLORES CATALINA</t>
  </si>
  <si>
    <t>marbau1028@gmail.com</t>
  </si>
  <si>
    <t>BAUTISTA CHAVEZ MARISELA</t>
  </si>
  <si>
    <t>PIRULES 5 XOCHIMILCO SAN LORENZO ATEMOAYA 16400</t>
  </si>
  <si>
    <t>felipevazquez40@gmail.com</t>
  </si>
  <si>
    <t>VAZQUEZ TRUJILLO FELIPE</t>
  </si>
  <si>
    <t>REPUBLICA DE HONDURAS 40 CUAUHTEMOC CENTRO (AREA 3) 06020</t>
  </si>
  <si>
    <t>gabebuchis85@gmail.com</t>
  </si>
  <si>
    <t>JIMENEZ DIANA FABIOLA GALLEGOS</t>
  </si>
  <si>
    <t>AVENIDA TLAHUAC 28 IZTAPALAPA LOS REYES CULHUACAN 09840</t>
  </si>
  <si>
    <t>tortilleriaelcomalito494@gmail.com</t>
  </si>
  <si>
    <t>QUINTANA HERNANDEZ ANTONIO</t>
  </si>
  <si>
    <t>ac8834228@gmail.com</t>
  </si>
  <si>
    <t>XOCHITL ESTRADA HERNANDEZ</t>
  </si>
  <si>
    <t>erendidaflores187@gmail.com</t>
  </si>
  <si>
    <t>FLORES GARCIA INGRID ERENDIDA</t>
  </si>
  <si>
    <t>8VA CDA EJIDO 5 COYOACAN SAN FRANCISCO CULHUACAN DE SANTA ANA 04260</t>
  </si>
  <si>
    <t>sel673608@gmail.com</t>
  </si>
  <si>
    <t>ANA MARIA MARTINEZ VAZQUEZ</t>
  </si>
  <si>
    <t>ESTUDIOS CLASA 10 IZTACALCO JARDINES TECMA 08920</t>
  </si>
  <si>
    <t>mzacariastellez974@gmail.com</t>
  </si>
  <si>
    <t>ZACARIAS TELLEZ MARIA DEL CARM</t>
  </si>
  <si>
    <t>ATANASIO G SARABIA 10 IZTAPALAPA HEROES DE CHURUBUSCO 09090</t>
  </si>
  <si>
    <t>mackiecerezo1@gmail.com</t>
  </si>
  <si>
    <t>Paq. Mi Neg</t>
  </si>
  <si>
    <t>ESTEBAN DE JESUS OROZCO GONZAL</t>
  </si>
  <si>
    <t>HUEHUETAN 2 TLALPAN HEROES DE PADIERNA 14200</t>
  </si>
  <si>
    <t>arturo290793@gmail.com</t>
  </si>
  <si>
    <t>ORLANDO</t>
  </si>
  <si>
    <t>GALEANA 27 CUAUHTEMOC GUERRERO 06300</t>
  </si>
  <si>
    <t>_iguana@hotmail.com</t>
  </si>
  <si>
    <t>BRENDA LIZETH LOPEZ SANCHEZ</t>
  </si>
  <si>
    <t>JOSE LOPEZ PORTILLO 8 NAUCALPAN DE JUAREZ MARTIRES DE RIO BLANCO 53780</t>
  </si>
  <si>
    <t>jl3537280@gmail.com</t>
  </si>
  <si>
    <t xml:space="preserve">CAT SOTELO                         </t>
  </si>
  <si>
    <t>PEREZ AGUILAR JOSE LUIS</t>
  </si>
  <si>
    <t>CALZ JALALPA 136 ALVARO OBREGON CALZADA JALALPA 01260</t>
  </si>
  <si>
    <t>jesusrosassegundo@gmail.com</t>
  </si>
  <si>
    <t>ROSAS SEGUNDO MARIA DE JESUS</t>
  </si>
  <si>
    <t>CDA LA ZANJA 20 CUAJIMALPA DE MORELOS SAN MATEO TLALTENANGO 05600</t>
  </si>
  <si>
    <t>leonel56509@gmail.com</t>
  </si>
  <si>
    <t>ARELLANO SALDANA LEONEL</t>
  </si>
  <si>
    <t>AGUAJE 1 LA MAGDALENA CONTRERAS EL OCOTAL 10630</t>
  </si>
  <si>
    <t>charlyaguilar7808@gmail.com</t>
  </si>
  <si>
    <t>RAMIREZ AGUILAR JUAN CARLOS</t>
  </si>
  <si>
    <t>FRANCIDSCO LUNA 13 IZTAPALAPA EJERCITO DE AGUA PRIETA 09578</t>
  </si>
  <si>
    <t>adrianaalejandra775@gmail.com</t>
  </si>
  <si>
    <t>RICARDO ALARCON SERENO</t>
  </si>
  <si>
    <t>VENUCIA 117 TLALPAN BELVEDERE AJUSCO 14720</t>
  </si>
  <si>
    <t>maxcruz660@gmail.com</t>
  </si>
  <si>
    <t>CARRENO GARNICA VANESSA</t>
  </si>
  <si>
    <t>21 DE MARZO 21 XOCHIMILCO SAN GREGORIO ATLAPULCO 16600</t>
  </si>
  <si>
    <t>pumaz.rebel@hotmail.com</t>
  </si>
  <si>
    <t>BRAVO DE LEON YESENIA</t>
  </si>
  <si>
    <t>AZTAQUEMECAN 31 COYOACAN PEDREGAL DE SANTO DOMINGO 04369</t>
  </si>
  <si>
    <t>sandoval.joseluis2530@gmail.com</t>
  </si>
  <si>
    <t>SANDOVAL MARQUEZ JOSE LUIS</t>
  </si>
  <si>
    <t>ec5663362@gmail.com</t>
  </si>
  <si>
    <t>MEDINA MARTINEZ JORGE</t>
  </si>
  <si>
    <t>MIGUEL LERDO TEJADA 190 IZTACALCO CAMPAMENTO 2 DE OCTUBRE 08930</t>
  </si>
  <si>
    <t>rojitohero12@gmail.com</t>
  </si>
  <si>
    <t>CERVANTES PORTILLA ALVARO</t>
  </si>
  <si>
    <t>CALLE TEPATLA 2 XOCHIMILCO SANTA MARIA TEPEPAN 16020</t>
  </si>
  <si>
    <t>danalin76@gmail.com</t>
  </si>
  <si>
    <t>HERNANDEZ MOLINA DOLORES MICHE</t>
  </si>
  <si>
    <t>RAYUELA 203 COYOACAN PEDREGAL DE CARRASCO 04700</t>
  </si>
  <si>
    <t>arturodominguezhernandes13@gmail.com</t>
  </si>
  <si>
    <t>DOMINGUEZ HERNANDEZ ARTURO</t>
  </si>
  <si>
    <t>RICARDO MONJES LOPEZ 67 TLAHUAC LOS OLIVOS 13210</t>
  </si>
  <si>
    <t>sararredondoh@gmail.com</t>
  </si>
  <si>
    <t>ARREDONDO HERNANDEZ SARA GEORG</t>
  </si>
  <si>
    <t>CARRETERA A SAN PABLO 525 XOCHIMILCO SANTIAGO TEPALCATLALPAN 16200</t>
  </si>
  <si>
    <t>pedro.mtz.bello0520@gmail.com</t>
  </si>
  <si>
    <t>MARTINEZ BELLO PEDRO</t>
  </si>
  <si>
    <t>CIRCUITO MARTINEZ DE CASTRO 460 XOCHIMILCO SAN MATEO XALPA 16800</t>
  </si>
  <si>
    <t>veliseo804@gmail.com</t>
  </si>
  <si>
    <t>ABARROTES VAZQUEZ</t>
  </si>
  <si>
    <t>JUAREZ PONIENTE 29 CUAJIMALPA DE MORELOS CUAJIMALPA 05000</t>
  </si>
  <si>
    <t>kikamostris@gmail.com</t>
  </si>
  <si>
    <t>PACHECO PACHECO FLAVIO</t>
  </si>
  <si>
    <t>patty.77lopez@gmail.com</t>
  </si>
  <si>
    <t xml:space="preserve">CAT VICTORIA                       </t>
  </si>
  <si>
    <t>LOPEZ LOPES GERARDO</t>
  </si>
  <si>
    <t>CALLE LA GRANJA 43 ALVARO OBREGON SAN BARTOLO AMEYALCO 01800</t>
  </si>
  <si>
    <t>flaqitamoon33@gmail.com</t>
  </si>
  <si>
    <t>PAREDES MONDRAGON YENNIFER</t>
  </si>
  <si>
    <t>rubendany134@gmail.com</t>
  </si>
  <si>
    <t>MENDOZA VERA RUBEN</t>
  </si>
  <si>
    <t>1ERA CERRADA 40 ALVARO OBREGON OLIVAR DEL CONDE 1A SECCION 01400</t>
  </si>
  <si>
    <t>mariadelcarmenquintero560@gmail.com</t>
  </si>
  <si>
    <t xml:space="preserve">CAT MIXCOAC                        </t>
  </si>
  <si>
    <t>QUIENTERO PEREZ MARIA DEL CARM</t>
  </si>
  <si>
    <t>HUEYOTITLA 3 XOCHIMILCO SAN LUCAS XOCHIMANCA 16300</t>
  </si>
  <si>
    <t>alika_2551@yahoo.com.mx</t>
  </si>
  <si>
    <t>MILLAN FLORES YAZMIN</t>
  </si>
  <si>
    <t>CALLE 1 12 NEZAHUALCOYOTL EL SOL 57200</t>
  </si>
  <si>
    <t>raulacosta201386@gmail.com</t>
  </si>
  <si>
    <t xml:space="preserve">CAT NEZAHUALCOYOTL                 </t>
  </si>
  <si>
    <t>BADILLO ACOSTA RAUL</t>
  </si>
  <si>
    <t>2DA CERRADA DE 22 DE OCTUBRE NATIVITAS 61 XOCHIMILCO SANTA MARIA NATIVITAS 16450</t>
  </si>
  <si>
    <t>bquero271@gmail.com</t>
  </si>
  <si>
    <t>SOLARES ROMERO CRISTINA ARELI</t>
  </si>
  <si>
    <t>PINO 5 XOCHIMILCO SANTA CRUZ DE GUADALUPE 16860</t>
  </si>
  <si>
    <t>monzonivan10@gmail.com</t>
  </si>
  <si>
    <t>MONZON LARA ISAAC IVAN</t>
  </si>
  <si>
    <t>CLAVEL 6 XOCHIMILCO SAN GREGORIO ATLAPULCO 16600</t>
  </si>
  <si>
    <t>arasantiago.hdz@gmail.com</t>
  </si>
  <si>
    <t>SANTIAGO REYES GLORIA</t>
  </si>
  <si>
    <t>COMERCIO 14 XOCHIMILCO SANTA CRUZ XOCHITEPEC 16100</t>
  </si>
  <si>
    <t>flor.ruizz153@gmail.com</t>
  </si>
  <si>
    <t>RUIZ GONZALEZ FLOR</t>
  </si>
  <si>
    <t>Friday</t>
  </si>
  <si>
    <t>LOMA DE LOS CEDROS 454 HUIXQUILUCAN SAN JUAN YAUTEPEC 52768</t>
  </si>
  <si>
    <t>plopezgonzalez434@gmail.com</t>
  </si>
  <si>
    <t xml:space="preserve">CAT LERMA                          </t>
  </si>
  <si>
    <t>LOPEZ GONZALEZ PATRICIA</t>
  </si>
  <si>
    <t>ESTADO DE MEXICO</t>
  </si>
  <si>
    <t>cataleyasalazar91@gmail.com</t>
  </si>
  <si>
    <t>LESLIE JOCCELIN CAMACHO SALAZA</t>
  </si>
  <si>
    <t>LA ESCONDIDA 15 ALVARO OBREGON SANTA ROSA XOCHIAC 01830</t>
  </si>
  <si>
    <t>jonathanbrenda427@gmail.com</t>
  </si>
  <si>
    <t>RAMIREZ ROBLES JONATHAN</t>
  </si>
  <si>
    <t>HOMBRES ILUSTRES 84 XOCHIMILCO SANTA CECILIA TEPETLAPA 16880</t>
  </si>
  <si>
    <t>mauriciohernandez134161@gmail.com</t>
  </si>
  <si>
    <t>HERNANDEZ REZA JOSE MAURICIO</t>
  </si>
  <si>
    <t>BENITO GOMEZ FARIAS SM 4 IZTACALCO CAMPAMENTO 2 DE OCTUBRE 08930</t>
  </si>
  <si>
    <t>rafaelmoraleshernades04@gmail.com</t>
  </si>
  <si>
    <t>MORALES HERNANDEZ RAFAEL</t>
  </si>
  <si>
    <t>espinozamatacesar5@gmail.com</t>
  </si>
  <si>
    <t>ESPINOZA MATA JULIO CESAR</t>
  </si>
  <si>
    <t>CERRADA ROSA 0 XOCHIMILCO SANTA CRUZ XOCHITEPEC 16100</t>
  </si>
  <si>
    <t>nidia_32@live.com.mx</t>
  </si>
  <si>
    <t>CRUZ PEREA NIDIA</t>
  </si>
  <si>
    <t>1ERA CADA LOS ARENALES 33 CHALCO SAN PABLO ATLAZALPAN 56620</t>
  </si>
  <si>
    <t>hlr290988@gmail.com</t>
  </si>
  <si>
    <t xml:space="preserve">CAT CHALCO                         </t>
  </si>
  <si>
    <t>DIEGO RODRIGO NOVELO SANCHEZ</t>
  </si>
  <si>
    <t>RIO GRIJALVA 012 LA PAZ SAN JOSE LAS PALMAS 56512</t>
  </si>
  <si>
    <t>armando.agui1824@gmail.com</t>
  </si>
  <si>
    <t>CANDIDO ORTIZ GONZALEZ</t>
  </si>
  <si>
    <t>16 DE SEPTIEMBRE 0 XOCHIMILCO BARRIO EL ROSARIO 16070</t>
  </si>
  <si>
    <t>ibarrarromeron@hotmail.com</t>
  </si>
  <si>
    <t>IBARRA ROMERO NATALYEE</t>
  </si>
  <si>
    <t>TERCERA CERRADA DE XOCHITL 79 XOCHIMILCO AMPLIACION NATIVITAS 16459</t>
  </si>
  <si>
    <t>sheylaalonso76@gmail.com</t>
  </si>
  <si>
    <t>ALONSO ESPINO SHEYLA ANAHI</t>
  </si>
  <si>
    <t>PLAN DE TUXTEPEC 25 XOCHIMILCO SAN LORENZO LA CEBADA 16035</t>
  </si>
  <si>
    <t>sandra.avsan31@gmail.com</t>
  </si>
  <si>
    <t xml:space="preserve">CAT COAPA                          </t>
  </si>
  <si>
    <t>SANDRA AVILES SANTIAGO</t>
  </si>
  <si>
    <t xml:space="preserve">HORA_MAYOR_TRAF </t>
  </si>
  <si>
    <t>DIA_MAYOR_TRAF</t>
  </si>
  <si>
    <t>DIRECCION</t>
  </si>
  <si>
    <t>CORREO</t>
  </si>
  <si>
    <t>TELCELULAR</t>
  </si>
  <si>
    <t>TELCONTACTO</t>
  </si>
  <si>
    <t>DIA_VENCIMIENTO_RECIBO</t>
  </si>
  <si>
    <t>IMPORTE_PAGOS</t>
  </si>
  <si>
    <t>ADEUDO</t>
  </si>
  <si>
    <t>MESES_ADEUDO</t>
  </si>
  <si>
    <t>PAQUETE</t>
  </si>
  <si>
    <t>ESTATUS_PROMOTOR</t>
  </si>
  <si>
    <t>PROMOTOR</t>
  </si>
  <si>
    <t>ORGANIZACIÓN</t>
  </si>
  <si>
    <t>GERENTE</t>
  </si>
  <si>
    <t>ESTRATEGIA</t>
  </si>
  <si>
    <t>CIUDAD</t>
  </si>
  <si>
    <t>CAT</t>
  </si>
  <si>
    <t>NOMBRE_CLIENTE</t>
  </si>
  <si>
    <t>TIPO_SERV</t>
  </si>
  <si>
    <t>OS</t>
  </si>
  <si>
    <t>FOLIO_SIAC</t>
  </si>
  <si>
    <t>FECHA_POSTEO</t>
  </si>
  <si>
    <t>TELEFONO</t>
  </si>
  <si>
    <t>AREA</t>
  </si>
  <si>
    <t>SUBDIRECCION</t>
  </si>
  <si>
    <t>NOMBRE_TUTOR</t>
  </si>
  <si>
    <t>EMPRESA</t>
  </si>
  <si>
    <t>MASTER</t>
  </si>
  <si>
    <t>NOMBRE</t>
  </si>
  <si>
    <t>AMERICA BRENDA</t>
  </si>
  <si>
    <t>EDUARDO</t>
  </si>
  <si>
    <t>ELIA</t>
  </si>
  <si>
    <t>ESTRELLA</t>
  </si>
  <si>
    <t>GUILLERMO</t>
  </si>
  <si>
    <t>IAN</t>
  </si>
  <si>
    <t>JAHIR</t>
  </si>
  <si>
    <t>JERANY</t>
  </si>
  <si>
    <t>KARINA</t>
  </si>
  <si>
    <t>KELLY</t>
  </si>
  <si>
    <t>KEVIN</t>
  </si>
  <si>
    <t>KRISTOFER</t>
  </si>
  <si>
    <t>LEONARDO</t>
  </si>
  <si>
    <t xml:space="preserve">LEONEL </t>
  </si>
  <si>
    <t>LUIS ENRIQUE</t>
  </si>
  <si>
    <t>MISAEL</t>
  </si>
  <si>
    <t>MITZI</t>
  </si>
  <si>
    <t>RAFAEL</t>
  </si>
  <si>
    <t>ULISES</t>
  </si>
  <si>
    <t>ALEJANDRO CORREA</t>
  </si>
  <si>
    <t>ANTHONY MORENO</t>
  </si>
  <si>
    <t>DALAY GARAVITO</t>
  </si>
  <si>
    <t>JOSE DAVID</t>
  </si>
  <si>
    <t xml:space="preserve">FRANCISCO MENDOZA </t>
  </si>
  <si>
    <t>GENESIS DIEGO</t>
  </si>
  <si>
    <t>KIARA AQUINO</t>
  </si>
  <si>
    <t>JOSE HERIBERTO</t>
  </si>
  <si>
    <t xml:space="preserve">FECHA POSTEO </t>
  </si>
  <si>
    <t>NOMBRE PROMOTOR</t>
  </si>
  <si>
    <t>MOROSIDAD</t>
  </si>
  <si>
    <t>Folio SIAC</t>
  </si>
  <si>
    <t>FECHA DE CAPTURA</t>
  </si>
  <si>
    <t>ESTATUS</t>
  </si>
  <si>
    <t>LINEA CONTRATADA</t>
  </si>
  <si>
    <t>CLAVE PROMOTOR</t>
  </si>
  <si>
    <t>ORDEN DE SERVICIO</t>
  </si>
  <si>
    <t>IENDA</t>
  </si>
  <si>
    <t>ETAPA PISA</t>
  </si>
  <si>
    <t>TIPO DE CLIENTE</t>
  </si>
  <si>
    <t>TEL PAGO</t>
  </si>
  <si>
    <t>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</si>
</sst>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4" fontId="0" fillId="0" borderId="2" xfId="0" applyNumberFormat="1" applyBorder="1"/>
    <xf numFmtId="0" fontId="0" fillId="2" borderId="2" xfId="0" applyFill="1" applyBorder="1"/>
    <xf numFmtId="14" fontId="0" fillId="2" borderId="2" xfId="0" applyNumberFormat="1" applyFill="1" applyBorder="1"/>
    <xf numFmtId="0" fontId="2" fillId="3" borderId="2" xfId="0" applyFont="1" applyFill="1" applyBorder="1"/>
    <xf numFmtId="0" fontId="0" fillId="0" borderId="3" xfId="0" applyBorder="1"/>
    <xf numFmtId="14" fontId="0" fillId="0" borderId="3" xfId="0" applyNumberFormat="1" applyBorder="1"/>
    <xf numFmtId="0" fontId="0" fillId="4" borderId="3" xfId="0" applyFill="1" applyBorder="1"/>
    <xf numFmtId="0" fontId="3" fillId="5" borderId="3" xfId="0" applyFont="1" applyFill="1" applyBorder="1" applyAlignment="1">
      <alignment horizontal="left"/>
    </xf>
    <xf numFmtId="0" fontId="3" fillId="6" borderId="3" xfId="0" applyFont="1" applyFill="1" applyBorder="1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0" fontId="2" fillId="3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44" fontId="2" fillId="7" borderId="4" xfId="1" applyFont="1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3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CC0DA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C5E0B4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16F6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F347E5-0F6C-46B2-B46F-904662D974E9}" name="Tabla1" displayName="Tabla1" ref="A1:W563" totalsRowShown="0" headerRowDxfId="337" dataDxfId="335" headerRowBorderDxfId="336" tableBorderDxfId="334">
  <sortState xmlns:xlrd2="http://schemas.microsoft.com/office/spreadsheetml/2017/richdata2" ref="A2:W563">
    <sortCondition ref="G1:G563"/>
  </sortState>
  <tableColumns count="23">
    <tableColumn id="3" xr3:uid="{58973E60-5362-47A9-A1C1-702B04E05E52}" name="ESTATUS" dataDxfId="333"/>
    <tableColumn id="4" xr3:uid="{F54F7C78-9215-4F37-B909-8AF48C34709F}" name="FECHA DE CAPTURA" dataDxfId="332"/>
    <tableColumn id="5" xr3:uid="{A8ED8E83-C5AB-4CC9-9B41-6320127AABCE}" name="Folio SIAC" dataDxfId="331"/>
    <tableColumn id="6" xr3:uid="{E1F3673E-4CFB-4A3A-9EA0-D9C783634DD7}" name="PAGO PROMOTOR" dataDxfId="330" dataCellStyle="Moneda">
      <calculatedColumnFormula>IFERROR(SUMIF(Servicios_Promotores!$B:$B,C2,Servicios_Promotores!$R:$R),0)</calculatedColumnFormula>
    </tableColumn>
    <tableColumn id="7" xr3:uid="{FFCC71DD-B0A1-4AAE-A124-401380D04360}" name="PAGO GERENTE" dataDxfId="329" dataCellStyle="Moneda">
      <calculatedColumnFormula>IFERROR(SUMIF(Pago_GERE!$B:$B,C2,Pago_GERE!$R:$R),0)</calculatedColumnFormula>
    </tableColumn>
    <tableColumn id="8" xr3:uid="{8A5A8D92-5AFB-44B9-8D8F-3C76029D0E0E}" name="MOROSIDAD" dataDxfId="328" dataCellStyle="Moneda">
      <calculatedColumnFormula>IFERROR(SUMIF(Hoja2!$H:$H,C2,Hoja2!$U:$U),0)</calculatedColumnFormula>
    </tableColumn>
    <tableColumn id="9" xr3:uid="{519C9DC7-1404-4DEF-86E8-2543299C9ED3}" name="NOMBRE PROMOTOR" dataDxfId="327">
      <calculatedColumnFormula>IFERROR(VLOOKUP(C2,Hoja3!$C:$D,2,FALSE),"")</calculatedColumnFormula>
    </tableColumn>
    <tableColumn id="10" xr3:uid="{C9074B05-580A-471A-9BE9-D5A7311F2EDB}" name="FECHA POSTEO " dataDxfId="326"/>
    <tableColumn id="11" xr3:uid="{0D64767C-8581-4394-9FC9-86336EF085E4}" name="PAQUETE" dataDxfId="325"/>
    <tableColumn id="12" xr3:uid="{E090FE42-2891-477F-AEDF-6BF4A6E94A95}" name="LINEA CONTRATADA" dataDxfId="324"/>
    <tableColumn id="13" xr3:uid="{0B0B39C6-7D35-4402-8EC2-54AFD62764E3}" name="AREA" dataDxfId="323"/>
    <tableColumn id="14" xr3:uid="{29947213-3CD3-4631-BDCA-B51C6D1DE09C}" name="ESTRATEGIA" dataDxfId="322"/>
    <tableColumn id="16" xr3:uid="{6450CDF5-C82F-46E7-ADEC-2692DCD37DDA}" name="CLAVE PROMOTOR" dataDxfId="321"/>
    <tableColumn id="18" xr3:uid="{A4B1BF14-6FC9-4AEF-BD0B-51E81FD40C25}" name="ORDEN DE SERVICIO" dataDxfId="320"/>
    <tableColumn id="19" xr3:uid="{F6947A2B-68E4-42F1-B1A8-0FEEB75C247F}" name="TELEFONO" dataDxfId="319"/>
    <tableColumn id="23" xr3:uid="{AFD5E469-54A1-4186-93BA-5BAC1A5A8B35}" name="IENDA" dataDxfId="318"/>
    <tableColumn id="24" xr3:uid="{00F2FBA4-2CF9-4334-B15C-E6AD466B1B71}" name="ETAPA PISA" dataDxfId="317"/>
    <tableColumn id="34" xr3:uid="{C0543F7A-FB6E-4A05-A785-CE76C312D249}" name="TEL PAGO" dataDxfId="316"/>
    <tableColumn id="35" xr3:uid="{0860D96E-3298-4D01-B4F8-84A07650CDDF}" name="TIPO DE CLIENTE" dataDxfId="315"/>
    <tableColumn id="37" xr3:uid="{3F65113B-8EC3-4041-930F-A95FE48C3D9A}" name="ZONA" dataDxfId="314"/>
    <tableColumn id="40" xr3:uid="{E896EBEC-52B0-42F2-97F8-790671EFC17E}" name="Observaciones Telmex" dataDxfId="313"/>
    <tableColumn id="41" xr3:uid="{75200A82-503E-46A5-8793-E52E2FC4B5CC}" name="DISTRITO" dataDxfId="312"/>
    <tableColumn id="47" xr3:uid="{8B33CC3C-4239-4D7C-B868-173A028F25A2}" name="COLONIA" dataDxfId="3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5AC9-A5F4-4437-96A3-E18EFAA13B5E}">
  <dimension ref="A1:W563"/>
  <sheetViews>
    <sheetView tabSelected="1" workbookViewId="0">
      <selection activeCell="G8" sqref="G8"/>
    </sheetView>
  </sheetViews>
  <sheetFormatPr baseColWidth="10" defaultRowHeight="14.25" x14ac:dyDescent="0.45"/>
  <cols>
    <col min="1" max="3" width="10.6640625" style="18"/>
    <col min="4" max="5" width="12.59765625" style="28" customWidth="1"/>
    <col min="6" max="6" width="13.86328125" style="28" customWidth="1"/>
    <col min="7" max="7" width="23.9296875" style="18" customWidth="1"/>
    <col min="8" max="8" width="14.53125" style="18" customWidth="1"/>
    <col min="9" max="9" width="10.6640625" style="18"/>
    <col min="10" max="10" width="16.796875" style="18" customWidth="1"/>
    <col min="11" max="16" width="10.6640625" style="18"/>
    <col min="17" max="17" width="13.06640625" style="18" customWidth="1"/>
    <col min="18" max="18" width="10.6640625" style="18"/>
    <col min="19" max="19" width="11.33203125" style="18" customWidth="1"/>
    <col min="20" max="20" width="10.6640625" style="18"/>
    <col min="21" max="21" width="20.86328125" style="18" customWidth="1"/>
    <col min="22" max="22" width="10.6640625" style="18"/>
    <col min="23" max="23" width="38.73046875" style="18" customWidth="1"/>
    <col min="24" max="16384" width="10.6640625" style="18"/>
  </cols>
  <sheetData>
    <row r="1" spans="1:23" s="21" customFormat="1" x14ac:dyDescent="0.45">
      <c r="A1" s="20" t="s">
        <v>1559</v>
      </c>
      <c r="B1" s="20" t="s">
        <v>1558</v>
      </c>
      <c r="C1" s="20" t="s">
        <v>1557</v>
      </c>
      <c r="D1" s="25" t="s">
        <v>1146</v>
      </c>
      <c r="E1" s="25" t="s">
        <v>1145</v>
      </c>
      <c r="F1" s="25" t="s">
        <v>1556</v>
      </c>
      <c r="G1" s="20" t="s">
        <v>1555</v>
      </c>
      <c r="H1" s="20" t="s">
        <v>1554</v>
      </c>
      <c r="I1" s="20" t="s">
        <v>1507</v>
      </c>
      <c r="J1" s="20" t="s">
        <v>1560</v>
      </c>
      <c r="K1" s="20" t="s">
        <v>1521</v>
      </c>
      <c r="L1" s="20" t="s">
        <v>1512</v>
      </c>
      <c r="M1" s="20" t="s">
        <v>1561</v>
      </c>
      <c r="N1" s="20" t="s">
        <v>1562</v>
      </c>
      <c r="O1" s="20" t="s">
        <v>1520</v>
      </c>
      <c r="P1" s="20" t="s">
        <v>1563</v>
      </c>
      <c r="Q1" s="20" t="s">
        <v>1564</v>
      </c>
      <c r="R1" s="20" t="s">
        <v>1566</v>
      </c>
      <c r="S1" s="20" t="s">
        <v>1565</v>
      </c>
      <c r="T1" s="20" t="s">
        <v>1141</v>
      </c>
      <c r="U1" s="20" t="s">
        <v>1140</v>
      </c>
      <c r="V1" s="20" t="s">
        <v>1139</v>
      </c>
      <c r="W1" s="20" t="s">
        <v>1567</v>
      </c>
    </row>
    <row r="2" spans="1:23" x14ac:dyDescent="0.45">
      <c r="A2" s="17" t="s">
        <v>254</v>
      </c>
      <c r="B2" s="22">
        <v>46036</v>
      </c>
      <c r="C2" s="17">
        <v>151295869</v>
      </c>
      <c r="D2" s="28">
        <f>IFERROR(SUMIF(Servicios_Promotores!$B:$B,C2,Servicios_Promotores!$R:$R),0)</f>
        <v>0</v>
      </c>
      <c r="E2" s="26">
        <f>IFERROR(SUMIF(Pago_GERE!$B:$B,C2,Pago_GERE!$R:$R),0)</f>
        <v>0</v>
      </c>
      <c r="F2" s="26">
        <f>IFERROR(SUMIF(Hoja2!$H:$H,C2,Hoja2!$U:$U),0)</f>
        <v>0</v>
      </c>
      <c r="G2" s="17">
        <f>IFERROR(VLOOKUP(C2,Hoja3!$C:$D,2,FALSE),"")</f>
        <v>0</v>
      </c>
      <c r="H2" s="22">
        <v>46038</v>
      </c>
      <c r="I2" s="17" t="s">
        <v>204</v>
      </c>
      <c r="J2" s="17" t="s">
        <v>165</v>
      </c>
      <c r="K2" s="17" t="s">
        <v>42</v>
      </c>
      <c r="L2" s="17">
        <v>10001013</v>
      </c>
      <c r="M2" s="17" t="s">
        <v>881</v>
      </c>
      <c r="N2" s="17">
        <v>21725726</v>
      </c>
      <c r="O2" s="17" t="s">
        <v>953</v>
      </c>
      <c r="P2" s="17" t="s">
        <v>148</v>
      </c>
      <c r="Q2" s="17" t="s">
        <v>253</v>
      </c>
      <c r="R2" s="17" t="s">
        <v>953</v>
      </c>
      <c r="S2" s="17" t="s">
        <v>155</v>
      </c>
      <c r="T2" s="17" t="s">
        <v>146</v>
      </c>
      <c r="U2" s="17" t="s">
        <v>251</v>
      </c>
      <c r="V2" s="17" t="s">
        <v>631</v>
      </c>
      <c r="W2" s="17" t="s">
        <v>630</v>
      </c>
    </row>
    <row r="3" spans="1:23" x14ac:dyDescent="0.45">
      <c r="A3" s="17" t="s">
        <v>254</v>
      </c>
      <c r="B3" s="22">
        <v>46036</v>
      </c>
      <c r="C3" s="17">
        <v>151295939</v>
      </c>
      <c r="D3" s="26">
        <f>IFERROR(SUMIF(Servicios_Promotores!$B:$B,C3,Servicios_Promotores!$R:$R),0)</f>
        <v>0</v>
      </c>
      <c r="E3" s="26">
        <f>IFERROR(SUMIF(Pago_GERE!$B:$B,C3,Pago_GERE!$R:$R),0)</f>
        <v>0</v>
      </c>
      <c r="F3" s="26">
        <f>IFERROR(SUMIF(Hoja2!$H:$H,C3,Hoja2!$U:$U),0)</f>
        <v>1891</v>
      </c>
      <c r="G3" s="17">
        <f>IFERROR(VLOOKUP(C3,Hoja3!$C:$D,2,FALSE),"")</f>
        <v>0</v>
      </c>
      <c r="H3" s="22">
        <v>46050</v>
      </c>
      <c r="I3" s="17" t="s">
        <v>152</v>
      </c>
      <c r="J3" s="17" t="s">
        <v>151</v>
      </c>
      <c r="K3" s="17" t="s">
        <v>39</v>
      </c>
      <c r="L3" s="17">
        <v>10001013</v>
      </c>
      <c r="M3" s="17" t="s">
        <v>881</v>
      </c>
      <c r="N3" s="17">
        <v>21690558</v>
      </c>
      <c r="O3" s="17" t="s">
        <v>952</v>
      </c>
      <c r="P3" s="17" t="s">
        <v>170</v>
      </c>
      <c r="Q3" s="17" t="s">
        <v>253</v>
      </c>
      <c r="R3" s="17" t="s">
        <v>952</v>
      </c>
      <c r="S3" s="17" t="s">
        <v>147</v>
      </c>
      <c r="T3" s="17" t="s">
        <v>169</v>
      </c>
      <c r="U3" s="17" t="s">
        <v>251</v>
      </c>
      <c r="V3" s="17" t="s">
        <v>951</v>
      </c>
      <c r="W3" s="17" t="s">
        <v>950</v>
      </c>
    </row>
    <row r="4" spans="1:23" x14ac:dyDescent="0.45">
      <c r="A4" s="17" t="s">
        <v>254</v>
      </c>
      <c r="B4" s="22">
        <v>46035</v>
      </c>
      <c r="C4" s="17">
        <v>151292351</v>
      </c>
      <c r="D4" s="26">
        <f>IFERROR(SUMIF(Servicios_Promotores!$B:$B,C4,Servicios_Promotores!$R:$R),0)</f>
        <v>0</v>
      </c>
      <c r="E4" s="26">
        <f>IFERROR(SUMIF(Pago_GERE!$B:$B,C4,Pago_GERE!$R:$R),0)</f>
        <v>0</v>
      </c>
      <c r="F4" s="26">
        <f>IFERROR(SUMIF(Hoja2!$H:$H,C4,Hoja2!$U:$U),0)</f>
        <v>0</v>
      </c>
      <c r="G4" s="17">
        <f>IFERROR(VLOOKUP(C4,Hoja3!$C:$D,2,FALSE),"")</f>
        <v>0</v>
      </c>
      <c r="H4" s="22">
        <v>46044</v>
      </c>
      <c r="I4" s="17" t="s">
        <v>158</v>
      </c>
      <c r="J4" s="17" t="s">
        <v>151</v>
      </c>
      <c r="K4" s="17" t="s">
        <v>55</v>
      </c>
      <c r="L4" s="17">
        <v>10001013</v>
      </c>
      <c r="M4" s="17" t="s">
        <v>881</v>
      </c>
      <c r="N4" s="17">
        <v>21608295</v>
      </c>
      <c r="O4" s="17" t="s">
        <v>942</v>
      </c>
      <c r="P4" s="17" t="s">
        <v>222</v>
      </c>
      <c r="Q4" s="17" t="s">
        <v>253</v>
      </c>
      <c r="R4" s="17" t="s">
        <v>942</v>
      </c>
      <c r="S4" s="17" t="s">
        <v>155</v>
      </c>
      <c r="T4" s="17" t="s">
        <v>55</v>
      </c>
      <c r="U4" s="17" t="s">
        <v>251</v>
      </c>
      <c r="V4" s="17" t="s">
        <v>941</v>
      </c>
      <c r="W4" s="17" t="s">
        <v>615</v>
      </c>
    </row>
    <row r="5" spans="1:23" x14ac:dyDescent="0.45">
      <c r="A5" s="17" t="s">
        <v>254</v>
      </c>
      <c r="B5" s="22">
        <v>46035</v>
      </c>
      <c r="C5" s="17">
        <v>151293880</v>
      </c>
      <c r="D5" s="26">
        <f>IFERROR(SUMIF(Servicios_Promotores!$B:$B,C5,Servicios_Promotores!$R:$R),0)</f>
        <v>0</v>
      </c>
      <c r="E5" s="26">
        <f>IFERROR(SUMIF(Pago_GERE!$B:$B,C5,Pago_GERE!$R:$R),0)</f>
        <v>0</v>
      </c>
      <c r="F5" s="26">
        <f>IFERROR(SUMIF(Hoja2!$H:$H,C5,Hoja2!$U:$U),0)</f>
        <v>997</v>
      </c>
      <c r="G5" s="17">
        <f>IFERROR(VLOOKUP(C5,Hoja3!$C:$D,2,FALSE),"")</f>
        <v>0</v>
      </c>
      <c r="H5" s="22">
        <v>46041</v>
      </c>
      <c r="I5" s="17" t="s">
        <v>209</v>
      </c>
      <c r="J5" s="17" t="s">
        <v>165</v>
      </c>
      <c r="K5" s="17" t="s">
        <v>55</v>
      </c>
      <c r="L5" s="17">
        <v>10001013</v>
      </c>
      <c r="M5" s="17" t="s">
        <v>881</v>
      </c>
      <c r="N5" s="17">
        <v>21790454</v>
      </c>
      <c r="O5" s="17" t="s">
        <v>931</v>
      </c>
      <c r="P5" s="17" t="s">
        <v>222</v>
      </c>
      <c r="Q5" s="17" t="s">
        <v>253</v>
      </c>
      <c r="R5" s="17" t="s">
        <v>931</v>
      </c>
      <c r="S5" s="17" t="s">
        <v>147</v>
      </c>
      <c r="T5" s="17" t="s">
        <v>55</v>
      </c>
      <c r="U5" s="17" t="s">
        <v>251</v>
      </c>
      <c r="V5" s="17" t="s">
        <v>930</v>
      </c>
      <c r="W5" s="17" t="s">
        <v>929</v>
      </c>
    </row>
    <row r="6" spans="1:23" x14ac:dyDescent="0.45">
      <c r="A6" s="17" t="s">
        <v>254</v>
      </c>
      <c r="B6" s="22">
        <v>46032</v>
      </c>
      <c r="C6" s="17">
        <v>151288035</v>
      </c>
      <c r="D6" s="26">
        <f>IFERROR(SUMIF(Servicios_Promotores!$B:$B,C6,Servicios_Promotores!$R:$R),0)</f>
        <v>0</v>
      </c>
      <c r="E6" s="26">
        <f>IFERROR(SUMIF(Pago_GERE!$B:$B,C6,Pago_GERE!$R:$R),0)</f>
        <v>0</v>
      </c>
      <c r="F6" s="26">
        <f>IFERROR(SUMIF(Hoja2!$H:$H,C6,Hoja2!$U:$U),0)</f>
        <v>0</v>
      </c>
      <c r="G6" s="17">
        <f>IFERROR(VLOOKUP(C6,Hoja3!$C:$D,2,FALSE),"")</f>
        <v>0</v>
      </c>
      <c r="H6" s="22">
        <v>46035</v>
      </c>
      <c r="I6" s="17" t="s">
        <v>163</v>
      </c>
      <c r="J6" s="17" t="s">
        <v>151</v>
      </c>
      <c r="K6" s="17" t="s">
        <v>55</v>
      </c>
      <c r="L6" s="17">
        <v>10001013</v>
      </c>
      <c r="M6" s="17" t="s">
        <v>881</v>
      </c>
      <c r="N6" s="17">
        <v>21574172</v>
      </c>
      <c r="O6" s="17" t="s">
        <v>923</v>
      </c>
      <c r="P6" s="17" t="s">
        <v>221</v>
      </c>
      <c r="Q6" s="17" t="s">
        <v>253</v>
      </c>
      <c r="R6" s="17" t="s">
        <v>923</v>
      </c>
      <c r="S6" s="17" t="s">
        <v>147</v>
      </c>
      <c r="T6" s="17" t="s">
        <v>55</v>
      </c>
      <c r="U6" s="17" t="s">
        <v>251</v>
      </c>
      <c r="V6" s="17" t="s">
        <v>915</v>
      </c>
      <c r="W6" s="17" t="s">
        <v>441</v>
      </c>
    </row>
    <row r="7" spans="1:23" x14ac:dyDescent="0.45">
      <c r="A7" s="17" t="s">
        <v>254</v>
      </c>
      <c r="B7" s="22">
        <v>46030</v>
      </c>
      <c r="C7" s="17">
        <v>151284161</v>
      </c>
      <c r="D7" s="26">
        <f>IFERROR(SUMIF(Servicios_Promotores!$B:$B,C7,Servicios_Promotores!$R:$R),0)</f>
        <v>0</v>
      </c>
      <c r="E7" s="26">
        <f>IFERROR(SUMIF(Pago_GERE!$B:$B,C7,Pago_GERE!$R:$R),0)</f>
        <v>0</v>
      </c>
      <c r="F7" s="26">
        <f>IFERROR(SUMIF(Hoja2!$H:$H,C7,Hoja2!$U:$U),0)</f>
        <v>979</v>
      </c>
      <c r="G7" s="17">
        <f>IFERROR(VLOOKUP(C7,Hoja3!$C:$D,2,FALSE),"")</f>
        <v>0</v>
      </c>
      <c r="H7" s="22">
        <v>46036</v>
      </c>
      <c r="I7" s="17" t="s">
        <v>152</v>
      </c>
      <c r="J7" s="17" t="s">
        <v>151</v>
      </c>
      <c r="K7" s="17" t="s">
        <v>101</v>
      </c>
      <c r="L7" s="17">
        <v>10001013</v>
      </c>
      <c r="M7" s="17" t="s">
        <v>881</v>
      </c>
      <c r="N7" s="17">
        <v>21506817</v>
      </c>
      <c r="O7" s="17" t="s">
        <v>911</v>
      </c>
      <c r="P7" s="17" t="s">
        <v>156</v>
      </c>
      <c r="Q7" s="17" t="s">
        <v>253</v>
      </c>
      <c r="R7" s="17" t="s">
        <v>911</v>
      </c>
      <c r="S7" s="17" t="s">
        <v>147</v>
      </c>
      <c r="T7" s="17" t="s">
        <v>154</v>
      </c>
      <c r="U7" s="17" t="s">
        <v>251</v>
      </c>
      <c r="V7" s="17" t="s">
        <v>483</v>
      </c>
      <c r="W7" s="17" t="s">
        <v>249</v>
      </c>
    </row>
    <row r="8" spans="1:23" x14ac:dyDescent="0.45">
      <c r="A8" s="17" t="s">
        <v>254</v>
      </c>
      <c r="B8" s="22">
        <v>46030</v>
      </c>
      <c r="C8" s="17">
        <v>151284228</v>
      </c>
      <c r="D8" s="26">
        <f>IFERROR(SUMIF(Servicios_Promotores!$B:$B,C8,Servicios_Promotores!$R:$R),0)</f>
        <v>0</v>
      </c>
      <c r="E8" s="26">
        <f>IFERROR(SUMIF(Pago_GERE!$B:$B,C8,Pago_GERE!$R:$R),0)</f>
        <v>0</v>
      </c>
      <c r="F8" s="26">
        <f>IFERROR(SUMIF(Hoja2!$H:$H,C8,Hoja2!$U:$U),0)</f>
        <v>0</v>
      </c>
      <c r="G8" s="17">
        <f>IFERROR(VLOOKUP(C8,Hoja3!$C:$D,2,FALSE),"")</f>
        <v>0</v>
      </c>
      <c r="H8" s="22">
        <v>46036</v>
      </c>
      <c r="I8" s="17" t="s">
        <v>152</v>
      </c>
      <c r="J8" s="17" t="s">
        <v>165</v>
      </c>
      <c r="K8" s="17" t="s">
        <v>55</v>
      </c>
      <c r="L8" s="17">
        <v>10001013</v>
      </c>
      <c r="M8" s="17" t="s">
        <v>881</v>
      </c>
      <c r="N8" s="17">
        <v>21679176</v>
      </c>
      <c r="O8" s="17" t="s">
        <v>907</v>
      </c>
      <c r="P8" s="17" t="s">
        <v>221</v>
      </c>
      <c r="Q8" s="17" t="s">
        <v>253</v>
      </c>
      <c r="R8" s="17" t="s">
        <v>907</v>
      </c>
      <c r="S8" s="17" t="s">
        <v>147</v>
      </c>
      <c r="T8" s="17" t="s">
        <v>55</v>
      </c>
      <c r="U8" s="17" t="s">
        <v>251</v>
      </c>
      <c r="V8" s="17" t="s">
        <v>906</v>
      </c>
      <c r="W8" s="17" t="s">
        <v>905</v>
      </c>
    </row>
    <row r="9" spans="1:23" x14ac:dyDescent="0.45">
      <c r="A9" s="17" t="s">
        <v>254</v>
      </c>
      <c r="B9" s="22">
        <v>46024</v>
      </c>
      <c r="C9" s="17">
        <v>151273163</v>
      </c>
      <c r="D9" s="26">
        <f>IFERROR(SUMIF(Servicios_Promotores!$B:$B,C9,Servicios_Promotores!$R:$R),0)</f>
        <v>0</v>
      </c>
      <c r="E9" s="26">
        <f>IFERROR(SUMIF(Pago_GERE!$B:$B,C9,Pago_GERE!$R:$R),0)</f>
        <v>0</v>
      </c>
      <c r="F9" s="26">
        <f>IFERROR(SUMIF(Hoja2!$H:$H,C9,Hoja2!$U:$U),0)</f>
        <v>1098</v>
      </c>
      <c r="G9" s="17">
        <f>IFERROR(VLOOKUP(C9,Hoja3!$C:$D,2,FALSE),"")</f>
        <v>0</v>
      </c>
      <c r="H9" s="22">
        <v>46028</v>
      </c>
      <c r="I9" s="17" t="s">
        <v>163</v>
      </c>
      <c r="J9" s="17" t="s">
        <v>151</v>
      </c>
      <c r="K9" s="17" t="s">
        <v>31</v>
      </c>
      <c r="L9" s="17">
        <v>10001013</v>
      </c>
      <c r="M9" s="17" t="s">
        <v>881</v>
      </c>
      <c r="N9" s="17">
        <v>21402994</v>
      </c>
      <c r="O9" s="17" t="s">
        <v>880</v>
      </c>
      <c r="P9" s="17" t="s">
        <v>179</v>
      </c>
      <c r="Q9" s="17" t="s">
        <v>253</v>
      </c>
      <c r="R9" s="17" t="s">
        <v>880</v>
      </c>
      <c r="S9" s="17" t="s">
        <v>147</v>
      </c>
      <c r="T9" s="17" t="s">
        <v>178</v>
      </c>
      <c r="U9" s="17" t="s">
        <v>251</v>
      </c>
      <c r="V9" s="17" t="s">
        <v>879</v>
      </c>
      <c r="W9" s="17" t="s">
        <v>878</v>
      </c>
    </row>
    <row r="10" spans="1:23" x14ac:dyDescent="0.45">
      <c r="A10" s="17" t="s">
        <v>1065</v>
      </c>
      <c r="B10" s="22">
        <v>46032</v>
      </c>
      <c r="C10" s="17">
        <v>151288061</v>
      </c>
      <c r="D10" s="26">
        <f>IFERROR(SUMIF(Servicios_Promotores!$B:$B,C10,Servicios_Promotores!$R:$R),0)</f>
        <v>0</v>
      </c>
      <c r="E10" s="26">
        <f>IFERROR(SUMIF(Pago_GERE!$B:$B,C10,Pago_GERE!$R:$R),0)</f>
        <v>0</v>
      </c>
      <c r="F10" s="26">
        <f>IFERROR(SUMIF(Hoja2!$H:$H,C10,Hoja2!$U:$U),0)</f>
        <v>0</v>
      </c>
      <c r="G10" s="17">
        <f>IFERROR(VLOOKUP(C10,Hoja3!$C:$D,2,FALSE),"")</f>
        <v>0</v>
      </c>
      <c r="H10" s="17"/>
      <c r="I10" s="17" t="s">
        <v>158</v>
      </c>
      <c r="J10" s="17" t="s">
        <v>151</v>
      </c>
      <c r="K10" s="17" t="s">
        <v>42</v>
      </c>
      <c r="L10" s="17">
        <v>10000064</v>
      </c>
      <c r="M10" s="17" t="s">
        <v>230</v>
      </c>
      <c r="N10" s="17">
        <v>21562810</v>
      </c>
      <c r="O10" s="17" t="s">
        <v>1131</v>
      </c>
      <c r="P10" s="17" t="s">
        <v>148</v>
      </c>
      <c r="Q10" s="17" t="s">
        <v>1064</v>
      </c>
      <c r="R10" s="17" t="s">
        <v>1131</v>
      </c>
      <c r="S10" s="17" t="s">
        <v>155</v>
      </c>
      <c r="T10" s="17" t="s">
        <v>146</v>
      </c>
      <c r="U10" s="17" t="s">
        <v>251</v>
      </c>
      <c r="V10" s="17"/>
      <c r="W10" s="17"/>
    </row>
    <row r="11" spans="1:23" x14ac:dyDescent="0.45">
      <c r="A11" s="17" t="s">
        <v>1065</v>
      </c>
      <c r="B11" s="22">
        <v>46028</v>
      </c>
      <c r="C11" s="17">
        <v>151279638</v>
      </c>
      <c r="D11" s="26">
        <f>IFERROR(SUMIF(Servicios_Promotores!$B:$B,C11,Servicios_Promotores!$R:$R),0)</f>
        <v>0</v>
      </c>
      <c r="E11" s="26">
        <f>IFERROR(SUMIF(Pago_GERE!$B:$B,C11,Pago_GERE!$R:$R),0)</f>
        <v>0</v>
      </c>
      <c r="F11" s="26">
        <f>IFERROR(SUMIF(Hoja2!$H:$H,C11,Hoja2!$U:$U),0)</f>
        <v>0</v>
      </c>
      <c r="G11" s="17">
        <f>IFERROR(VLOOKUP(C11,Hoja3!$C:$D,2,FALSE),"")</f>
        <v>0</v>
      </c>
      <c r="H11" s="17"/>
      <c r="I11" s="17" t="s">
        <v>163</v>
      </c>
      <c r="J11" s="17" t="s">
        <v>151</v>
      </c>
      <c r="K11" s="17" t="s">
        <v>39</v>
      </c>
      <c r="L11" s="17">
        <v>10000064</v>
      </c>
      <c r="M11" s="17" t="s">
        <v>230</v>
      </c>
      <c r="N11" s="17">
        <v>21458441</v>
      </c>
      <c r="O11" s="17" t="s">
        <v>1066</v>
      </c>
      <c r="P11" s="17" t="s">
        <v>170</v>
      </c>
      <c r="Q11" s="17" t="s">
        <v>1064</v>
      </c>
      <c r="R11" s="17" t="s">
        <v>1066</v>
      </c>
      <c r="S11" s="17" t="s">
        <v>147</v>
      </c>
      <c r="T11" s="17" t="s">
        <v>169</v>
      </c>
      <c r="U11" s="17" t="s">
        <v>251</v>
      </c>
      <c r="V11" s="17" t="s">
        <v>210</v>
      </c>
      <c r="W11" s="17"/>
    </row>
    <row r="12" spans="1:23" x14ac:dyDescent="0.45">
      <c r="A12" s="17" t="s">
        <v>1065</v>
      </c>
      <c r="B12" s="22">
        <v>46024</v>
      </c>
      <c r="C12" s="17">
        <v>151273210</v>
      </c>
      <c r="D12" s="26">
        <f>IFERROR(SUMIF(Servicios_Promotores!$B:$B,C12,Servicios_Promotores!$R:$R),0)</f>
        <v>0</v>
      </c>
      <c r="E12" s="26">
        <f>IFERROR(SUMIF(Pago_GERE!$B:$B,C12,Pago_GERE!$R:$R),0)</f>
        <v>0</v>
      </c>
      <c r="F12" s="26">
        <f>IFERROR(SUMIF(Hoja2!$H:$H,C12,Hoja2!$U:$U),0)</f>
        <v>0</v>
      </c>
      <c r="G12" s="17">
        <f>IFERROR(VLOOKUP(C12,Hoja3!$C:$D,2,FALSE),"")</f>
        <v>0</v>
      </c>
      <c r="H12" s="17"/>
      <c r="I12" s="17" t="s">
        <v>204</v>
      </c>
      <c r="J12" s="17" t="s">
        <v>151</v>
      </c>
      <c r="K12" s="17" t="s">
        <v>55</v>
      </c>
      <c r="L12" s="17">
        <v>10000064</v>
      </c>
      <c r="M12" s="17" t="s">
        <v>230</v>
      </c>
      <c r="N12" s="17">
        <v>21366500</v>
      </c>
      <c r="O12" s="17" t="s">
        <v>1066</v>
      </c>
      <c r="P12" s="17" t="s">
        <v>534</v>
      </c>
      <c r="Q12" s="17" t="s">
        <v>1064</v>
      </c>
      <c r="R12" s="17" t="s">
        <v>1066</v>
      </c>
      <c r="S12" s="17" t="s">
        <v>155</v>
      </c>
      <c r="T12" s="17" t="s">
        <v>55</v>
      </c>
      <c r="U12" s="17" t="s">
        <v>251</v>
      </c>
      <c r="V12" s="17" t="s">
        <v>210</v>
      </c>
      <c r="W12" s="17"/>
    </row>
    <row r="13" spans="1:23" x14ac:dyDescent="0.45">
      <c r="A13" s="17" t="s">
        <v>254</v>
      </c>
      <c r="B13" s="22">
        <v>46032</v>
      </c>
      <c r="C13" s="17">
        <v>151288488</v>
      </c>
      <c r="D13" s="26">
        <f>IFERROR(SUMIF(Servicios_Promotores!$B:$B,C13,Servicios_Promotores!$R:$R),0)</f>
        <v>0</v>
      </c>
      <c r="E13" s="26">
        <f>IFERROR(SUMIF(Pago_GERE!$B:$B,C13,Pago_GERE!$R:$R),0)</f>
        <v>0</v>
      </c>
      <c r="F13" s="26">
        <f>IFERROR(SUMIF(Hoja2!$H:$H,C13,Hoja2!$U:$U),0)</f>
        <v>0</v>
      </c>
      <c r="G13" s="17">
        <f>IFERROR(VLOOKUP(C13,Hoja3!$C:$D,2,FALSE),"")</f>
        <v>0</v>
      </c>
      <c r="H13" s="22">
        <v>46038</v>
      </c>
      <c r="I13" s="17" t="s">
        <v>209</v>
      </c>
      <c r="J13" s="17" t="s">
        <v>165</v>
      </c>
      <c r="K13" s="17" t="s">
        <v>61</v>
      </c>
      <c r="L13" s="17">
        <v>10000064</v>
      </c>
      <c r="M13" s="17" t="s">
        <v>230</v>
      </c>
      <c r="N13" s="17">
        <v>21563486</v>
      </c>
      <c r="O13" s="17" t="s">
        <v>922</v>
      </c>
      <c r="P13" s="17" t="s">
        <v>202</v>
      </c>
      <c r="Q13" s="17" t="s">
        <v>253</v>
      </c>
      <c r="R13" s="17" t="s">
        <v>922</v>
      </c>
      <c r="S13" s="17" t="s">
        <v>147</v>
      </c>
      <c r="T13" s="17" t="s">
        <v>201</v>
      </c>
      <c r="U13" s="17" t="s">
        <v>251</v>
      </c>
      <c r="V13" s="17" t="s">
        <v>921</v>
      </c>
      <c r="W13" s="17" t="s">
        <v>920</v>
      </c>
    </row>
    <row r="14" spans="1:23" x14ac:dyDescent="0.45">
      <c r="A14" s="17" t="s">
        <v>254</v>
      </c>
      <c r="B14" s="22">
        <v>46031</v>
      </c>
      <c r="C14" s="17">
        <v>151286563</v>
      </c>
      <c r="D14" s="26">
        <f>IFERROR(SUMIF(Servicios_Promotores!$B:$B,C14,Servicios_Promotores!$R:$R),0)</f>
        <v>0</v>
      </c>
      <c r="E14" s="26">
        <f>IFERROR(SUMIF(Pago_GERE!$B:$B,C14,Pago_GERE!$R:$R),0)</f>
        <v>0</v>
      </c>
      <c r="F14" s="26">
        <f>IFERROR(SUMIF(Hoja2!$H:$H,C14,Hoja2!$U:$U),0)</f>
        <v>0</v>
      </c>
      <c r="G14" s="17">
        <f>IFERROR(VLOOKUP(C14,Hoja3!$C:$D,2,FALSE),"")</f>
        <v>0</v>
      </c>
      <c r="H14" s="22">
        <v>46035</v>
      </c>
      <c r="I14" s="17" t="s">
        <v>204</v>
      </c>
      <c r="J14" s="17" t="s">
        <v>165</v>
      </c>
      <c r="K14" s="17" t="s">
        <v>42</v>
      </c>
      <c r="L14" s="17">
        <v>10000064</v>
      </c>
      <c r="M14" s="17" t="s">
        <v>230</v>
      </c>
      <c r="N14" s="17">
        <v>21622890</v>
      </c>
      <c r="O14" s="17" t="s">
        <v>914</v>
      </c>
      <c r="P14" s="17" t="s">
        <v>148</v>
      </c>
      <c r="Q14" s="17" t="s">
        <v>253</v>
      </c>
      <c r="R14" s="17" t="s">
        <v>914</v>
      </c>
      <c r="S14" s="17" t="s">
        <v>155</v>
      </c>
      <c r="T14" s="17" t="s">
        <v>146</v>
      </c>
      <c r="U14" s="17" t="s">
        <v>251</v>
      </c>
      <c r="V14" s="17" t="s">
        <v>913</v>
      </c>
      <c r="W14" s="17" t="s">
        <v>912</v>
      </c>
    </row>
    <row r="15" spans="1:23" x14ac:dyDescent="0.45">
      <c r="A15" s="17" t="s">
        <v>254</v>
      </c>
      <c r="B15" s="22">
        <v>46029</v>
      </c>
      <c r="C15" s="17">
        <v>151281955</v>
      </c>
      <c r="D15" s="26">
        <f>IFERROR(SUMIF(Servicios_Promotores!$B:$B,C15,Servicios_Promotores!$R:$R),0)</f>
        <v>0</v>
      </c>
      <c r="E15" s="26">
        <f>IFERROR(SUMIF(Pago_GERE!$B:$B,C15,Pago_GERE!$R:$R),0)</f>
        <v>0</v>
      </c>
      <c r="F15" s="26">
        <f>IFERROR(SUMIF(Hoja2!$H:$H,C15,Hoja2!$U:$U),0)</f>
        <v>1070</v>
      </c>
      <c r="G15" s="17">
        <f>IFERROR(VLOOKUP(C15,Hoja3!$C:$D,2,FALSE),"")</f>
        <v>0</v>
      </c>
      <c r="H15" s="22">
        <v>46031</v>
      </c>
      <c r="I15" s="17" t="s">
        <v>197</v>
      </c>
      <c r="J15" s="17" t="s">
        <v>151</v>
      </c>
      <c r="K15" s="17" t="s">
        <v>42</v>
      </c>
      <c r="L15" s="17">
        <v>10000064</v>
      </c>
      <c r="M15" s="17" t="s">
        <v>230</v>
      </c>
      <c r="N15" s="17">
        <v>21482115</v>
      </c>
      <c r="O15" s="17" t="s">
        <v>904</v>
      </c>
      <c r="P15" s="17" t="s">
        <v>148</v>
      </c>
      <c r="Q15" s="17" t="s">
        <v>253</v>
      </c>
      <c r="R15" s="17" t="s">
        <v>904</v>
      </c>
      <c r="S15" s="17" t="s">
        <v>147</v>
      </c>
      <c r="T15" s="17" t="s">
        <v>146</v>
      </c>
      <c r="U15" s="17" t="s">
        <v>251</v>
      </c>
      <c r="V15" s="17" t="s">
        <v>311</v>
      </c>
      <c r="W15" s="17" t="s">
        <v>310</v>
      </c>
    </row>
    <row r="16" spans="1:23" x14ac:dyDescent="0.45">
      <c r="A16" s="17" t="s">
        <v>254</v>
      </c>
      <c r="B16" s="22">
        <v>46029</v>
      </c>
      <c r="C16" s="17">
        <v>151280950</v>
      </c>
      <c r="D16" s="26">
        <f>IFERROR(SUMIF(Servicios_Promotores!$B:$B,C16,Servicios_Promotores!$R:$R),0)</f>
        <v>0</v>
      </c>
      <c r="E16" s="26">
        <f>IFERROR(SUMIF(Pago_GERE!$B:$B,C16,Pago_GERE!$R:$R),0)</f>
        <v>0</v>
      </c>
      <c r="F16" s="26">
        <f>IFERROR(SUMIF(Hoja2!$H:$H,C16,Hoja2!$U:$U),0)</f>
        <v>0</v>
      </c>
      <c r="G16" s="17">
        <f>IFERROR(VLOOKUP(C16,Hoja3!$C:$D,2,FALSE),"")</f>
        <v>0</v>
      </c>
      <c r="H16" s="22">
        <v>46031</v>
      </c>
      <c r="I16" s="17" t="s">
        <v>152</v>
      </c>
      <c r="J16" s="17" t="s">
        <v>165</v>
      </c>
      <c r="K16" s="17" t="s">
        <v>42</v>
      </c>
      <c r="L16" s="17">
        <v>10000064</v>
      </c>
      <c r="M16" s="17" t="s">
        <v>230</v>
      </c>
      <c r="N16" s="17">
        <v>21460315</v>
      </c>
      <c r="O16" s="17" t="s">
        <v>903</v>
      </c>
      <c r="P16" s="17" t="s">
        <v>148</v>
      </c>
      <c r="Q16" s="17" t="s">
        <v>253</v>
      </c>
      <c r="R16" s="17" t="s">
        <v>903</v>
      </c>
      <c r="S16" s="17" t="s">
        <v>147</v>
      </c>
      <c r="T16" s="17" t="s">
        <v>146</v>
      </c>
      <c r="U16" s="17" t="s">
        <v>251</v>
      </c>
      <c r="V16" s="17" t="s">
        <v>322</v>
      </c>
      <c r="W16" s="17" t="s">
        <v>321</v>
      </c>
    </row>
    <row r="17" spans="1:23" x14ac:dyDescent="0.45">
      <c r="A17" s="17" t="s">
        <v>254</v>
      </c>
      <c r="B17" s="22">
        <v>46029</v>
      </c>
      <c r="C17" s="17">
        <v>151281559</v>
      </c>
      <c r="D17" s="26">
        <f>IFERROR(SUMIF(Servicios_Promotores!$B:$B,C17,Servicios_Promotores!$R:$R),0)</f>
        <v>0</v>
      </c>
      <c r="E17" s="26">
        <f>IFERROR(SUMIF(Pago_GERE!$B:$B,C17,Pago_GERE!$R:$R),0)</f>
        <v>0</v>
      </c>
      <c r="F17" s="26">
        <f>IFERROR(SUMIF(Hoja2!$H:$H,C17,Hoja2!$U:$U),0)</f>
        <v>896</v>
      </c>
      <c r="G17" s="17">
        <f>IFERROR(VLOOKUP(C17,Hoja3!$C:$D,2,FALSE),"")</f>
        <v>0</v>
      </c>
      <c r="H17" s="22">
        <v>46038</v>
      </c>
      <c r="I17" s="17" t="s">
        <v>163</v>
      </c>
      <c r="J17" s="17" t="s">
        <v>151</v>
      </c>
      <c r="K17" s="17" t="s">
        <v>42</v>
      </c>
      <c r="L17" s="17">
        <v>10000064</v>
      </c>
      <c r="M17" s="17" t="s">
        <v>230</v>
      </c>
      <c r="N17" s="17">
        <v>21483063</v>
      </c>
      <c r="O17" s="17" t="s">
        <v>902</v>
      </c>
      <c r="P17" s="17" t="s">
        <v>148</v>
      </c>
      <c r="Q17" s="17" t="s">
        <v>253</v>
      </c>
      <c r="R17" s="17" t="s">
        <v>902</v>
      </c>
      <c r="S17" s="17" t="s">
        <v>147</v>
      </c>
      <c r="T17" s="17" t="s">
        <v>146</v>
      </c>
      <c r="U17" s="17" t="s">
        <v>251</v>
      </c>
      <c r="V17" s="17" t="s">
        <v>313</v>
      </c>
      <c r="W17" s="17" t="s">
        <v>310</v>
      </c>
    </row>
    <row r="18" spans="1:23" x14ac:dyDescent="0.45">
      <c r="A18" s="17" t="s">
        <v>254</v>
      </c>
      <c r="B18" s="22">
        <v>46029</v>
      </c>
      <c r="C18" s="17">
        <v>151281785</v>
      </c>
      <c r="D18" s="26">
        <f>IFERROR(SUMIF(Servicios_Promotores!$B:$B,C18,Servicios_Promotores!$R:$R),0)</f>
        <v>0</v>
      </c>
      <c r="E18" s="26">
        <f>IFERROR(SUMIF(Pago_GERE!$B:$B,C18,Pago_GERE!$R:$R),0)</f>
        <v>0</v>
      </c>
      <c r="F18" s="26">
        <f>IFERROR(SUMIF(Hoja2!$H:$H,C18,Hoja2!$U:$U),0)</f>
        <v>598</v>
      </c>
      <c r="G18" s="17">
        <f>IFERROR(VLOOKUP(C18,Hoja3!$C:$D,2,FALSE),"")</f>
        <v>0</v>
      </c>
      <c r="H18" s="22">
        <v>46034</v>
      </c>
      <c r="I18" s="17" t="s">
        <v>194</v>
      </c>
      <c r="J18" s="17" t="s">
        <v>151</v>
      </c>
      <c r="K18" s="17" t="s">
        <v>42</v>
      </c>
      <c r="L18" s="17">
        <v>10000064</v>
      </c>
      <c r="M18" s="17" t="s">
        <v>230</v>
      </c>
      <c r="N18" s="17">
        <v>21482357</v>
      </c>
      <c r="O18" s="17" t="s">
        <v>901</v>
      </c>
      <c r="P18" s="17" t="s">
        <v>148</v>
      </c>
      <c r="Q18" s="17" t="s">
        <v>253</v>
      </c>
      <c r="R18" s="17" t="s">
        <v>901</v>
      </c>
      <c r="S18" s="17" t="s">
        <v>147</v>
      </c>
      <c r="T18" s="17" t="s">
        <v>146</v>
      </c>
      <c r="U18" s="17" t="s">
        <v>251</v>
      </c>
      <c r="V18" s="17" t="s">
        <v>311</v>
      </c>
      <c r="W18" s="17" t="s">
        <v>310</v>
      </c>
    </row>
    <row r="19" spans="1:23" x14ac:dyDescent="0.45">
      <c r="A19" s="17" t="s">
        <v>254</v>
      </c>
      <c r="B19" s="22">
        <v>46029</v>
      </c>
      <c r="C19" s="17">
        <v>151281134</v>
      </c>
      <c r="D19" s="26">
        <f>IFERROR(SUMIF(Servicios_Promotores!$B:$B,C19,Servicios_Promotores!$R:$R),0)</f>
        <v>0</v>
      </c>
      <c r="E19" s="26">
        <f>IFERROR(SUMIF(Pago_GERE!$B:$B,C19,Pago_GERE!$R:$R),0)</f>
        <v>0</v>
      </c>
      <c r="F19" s="26">
        <f>IFERROR(SUMIF(Hoja2!$H:$H,C19,Hoja2!$U:$U),0)</f>
        <v>0</v>
      </c>
      <c r="G19" s="17">
        <f>IFERROR(VLOOKUP(C19,Hoja3!$C:$D,2,FALSE),"")</f>
        <v>0</v>
      </c>
      <c r="H19" s="22">
        <v>46030</v>
      </c>
      <c r="I19" s="17" t="s">
        <v>163</v>
      </c>
      <c r="J19" s="17" t="s">
        <v>151</v>
      </c>
      <c r="K19" s="17" t="s">
        <v>42</v>
      </c>
      <c r="L19" s="17">
        <v>10000064</v>
      </c>
      <c r="M19" s="17" t="s">
        <v>230</v>
      </c>
      <c r="N19" s="17">
        <v>21461756</v>
      </c>
      <c r="O19" s="17" t="s">
        <v>900</v>
      </c>
      <c r="P19" s="17" t="s">
        <v>148</v>
      </c>
      <c r="Q19" s="17" t="s">
        <v>253</v>
      </c>
      <c r="R19" s="17" t="s">
        <v>900</v>
      </c>
      <c r="S19" s="17" t="s">
        <v>147</v>
      </c>
      <c r="T19" s="17" t="s">
        <v>146</v>
      </c>
      <c r="U19" s="17" t="s">
        <v>251</v>
      </c>
      <c r="V19" s="17" t="s">
        <v>311</v>
      </c>
      <c r="W19" s="17" t="s">
        <v>310</v>
      </c>
    </row>
    <row r="20" spans="1:23" x14ac:dyDescent="0.45">
      <c r="A20" s="17" t="s">
        <v>254</v>
      </c>
      <c r="B20" s="22">
        <v>46028</v>
      </c>
      <c r="C20" s="17">
        <v>151278693</v>
      </c>
      <c r="D20" s="26">
        <f>IFERROR(SUMIF(Servicios_Promotores!$B:$B,C20,Servicios_Promotores!$R:$R),0)</f>
        <v>0</v>
      </c>
      <c r="E20" s="26">
        <f>IFERROR(SUMIF(Pago_GERE!$B:$B,C20,Pago_GERE!$R:$R),0)</f>
        <v>0</v>
      </c>
      <c r="F20" s="26">
        <f>IFERROR(SUMIF(Hoja2!$H:$H,C20,Hoja2!$U:$U),0)</f>
        <v>1021</v>
      </c>
      <c r="G20" s="17">
        <f>IFERROR(VLOOKUP(C20,Hoja3!$C:$D,2,FALSE),"")</f>
        <v>0</v>
      </c>
      <c r="H20" s="22">
        <v>46030</v>
      </c>
      <c r="I20" s="17" t="s">
        <v>204</v>
      </c>
      <c r="J20" s="17" t="s">
        <v>151</v>
      </c>
      <c r="K20" s="17" t="s">
        <v>42</v>
      </c>
      <c r="L20" s="17">
        <v>10000064</v>
      </c>
      <c r="M20" s="17" t="s">
        <v>230</v>
      </c>
      <c r="N20" s="17">
        <v>21434297</v>
      </c>
      <c r="O20" s="17" t="s">
        <v>898</v>
      </c>
      <c r="P20" s="17" t="s">
        <v>148</v>
      </c>
      <c r="Q20" s="17" t="s">
        <v>253</v>
      </c>
      <c r="R20" s="17" t="s">
        <v>898</v>
      </c>
      <c r="S20" s="17" t="s">
        <v>155</v>
      </c>
      <c r="T20" s="17" t="s">
        <v>146</v>
      </c>
      <c r="U20" s="17" t="s">
        <v>251</v>
      </c>
      <c r="V20" s="17" t="s">
        <v>897</v>
      </c>
      <c r="W20" s="17" t="s">
        <v>891</v>
      </c>
    </row>
    <row r="21" spans="1:23" x14ac:dyDescent="0.45">
      <c r="A21" s="17" t="s">
        <v>254</v>
      </c>
      <c r="B21" s="22">
        <v>46028</v>
      </c>
      <c r="C21" s="17">
        <v>151279087</v>
      </c>
      <c r="D21" s="26">
        <f>IFERROR(SUMIF(Servicios_Promotores!$B:$B,C21,Servicios_Promotores!$R:$R),0)</f>
        <v>0</v>
      </c>
      <c r="E21" s="26">
        <f>IFERROR(SUMIF(Pago_GERE!$B:$B,C21,Pago_GERE!$R:$R),0)</f>
        <v>0</v>
      </c>
      <c r="F21" s="26">
        <f>IFERROR(SUMIF(Hoja2!$H:$H,C21,Hoja2!$U:$U),0)</f>
        <v>0</v>
      </c>
      <c r="G21" s="17">
        <f>IFERROR(VLOOKUP(C21,Hoja3!$C:$D,2,FALSE),"")</f>
        <v>0</v>
      </c>
      <c r="H21" s="22">
        <v>46030</v>
      </c>
      <c r="I21" s="17" t="s">
        <v>152</v>
      </c>
      <c r="J21" s="17" t="s">
        <v>165</v>
      </c>
      <c r="K21" s="17" t="s">
        <v>42</v>
      </c>
      <c r="L21" s="17">
        <v>10000064</v>
      </c>
      <c r="M21" s="17" t="s">
        <v>230</v>
      </c>
      <c r="N21" s="17">
        <v>21438310</v>
      </c>
      <c r="O21" s="17" t="s">
        <v>893</v>
      </c>
      <c r="P21" s="17" t="s">
        <v>148</v>
      </c>
      <c r="Q21" s="17" t="s">
        <v>253</v>
      </c>
      <c r="R21" s="17" t="s">
        <v>893</v>
      </c>
      <c r="S21" s="17" t="s">
        <v>147</v>
      </c>
      <c r="T21" s="17" t="s">
        <v>146</v>
      </c>
      <c r="U21" s="17" t="s">
        <v>251</v>
      </c>
      <c r="V21" s="17" t="s">
        <v>892</v>
      </c>
      <c r="W21" s="17" t="s">
        <v>891</v>
      </c>
    </row>
    <row r="22" spans="1:23" x14ac:dyDescent="0.45">
      <c r="A22" s="17" t="s">
        <v>254</v>
      </c>
      <c r="B22" s="22">
        <v>46027</v>
      </c>
      <c r="C22" s="17">
        <v>151277757</v>
      </c>
      <c r="D22" s="26">
        <f>IFERROR(SUMIF(Servicios_Promotores!$B:$B,C22,Servicios_Promotores!$R:$R),0)</f>
        <v>0</v>
      </c>
      <c r="E22" s="26">
        <f>IFERROR(SUMIF(Pago_GERE!$B:$B,C22,Pago_GERE!$R:$R),0)</f>
        <v>0</v>
      </c>
      <c r="F22" s="26">
        <f>IFERROR(SUMIF(Hoja2!$H:$H,C22,Hoja2!$U:$U),0)</f>
        <v>0</v>
      </c>
      <c r="G22" s="17">
        <f>IFERROR(VLOOKUP(C22,Hoja3!$C:$D,2,FALSE),"")</f>
        <v>0</v>
      </c>
      <c r="H22" s="22">
        <v>46028</v>
      </c>
      <c r="I22" s="17" t="s">
        <v>163</v>
      </c>
      <c r="J22" s="17" t="s">
        <v>151</v>
      </c>
      <c r="K22" s="17" t="s">
        <v>42</v>
      </c>
      <c r="L22" s="17">
        <v>10000064</v>
      </c>
      <c r="M22" s="17" t="s">
        <v>230</v>
      </c>
      <c r="N22" s="17">
        <v>21425751</v>
      </c>
      <c r="O22" s="17" t="s">
        <v>890</v>
      </c>
      <c r="P22" s="17" t="s">
        <v>224</v>
      </c>
      <c r="Q22" s="17" t="s">
        <v>253</v>
      </c>
      <c r="R22" s="17" t="s">
        <v>890</v>
      </c>
      <c r="S22" s="17" t="s">
        <v>147</v>
      </c>
      <c r="T22" s="17" t="s">
        <v>223</v>
      </c>
      <c r="U22" s="17" t="s">
        <v>251</v>
      </c>
      <c r="V22" s="17" t="s">
        <v>889</v>
      </c>
      <c r="W22" s="17" t="s">
        <v>264</v>
      </c>
    </row>
    <row r="23" spans="1:23" x14ac:dyDescent="0.45">
      <c r="A23" s="17" t="s">
        <v>254</v>
      </c>
      <c r="B23" s="22">
        <v>46027</v>
      </c>
      <c r="C23" s="17">
        <v>151277736</v>
      </c>
      <c r="D23" s="26">
        <f>IFERROR(SUMIF(Servicios_Promotores!$B:$B,C23,Servicios_Promotores!$R:$R),0)</f>
        <v>0</v>
      </c>
      <c r="E23" s="26">
        <f>IFERROR(SUMIF(Pago_GERE!$B:$B,C23,Pago_GERE!$R:$R),0)</f>
        <v>0</v>
      </c>
      <c r="F23" s="26">
        <f>IFERROR(SUMIF(Hoja2!$H:$H,C23,Hoja2!$U:$U),0)</f>
        <v>0</v>
      </c>
      <c r="G23" s="17">
        <f>IFERROR(VLOOKUP(C23,Hoja3!$C:$D,2,FALSE),"")</f>
        <v>0</v>
      </c>
      <c r="H23" s="22">
        <v>46035</v>
      </c>
      <c r="I23" s="17" t="s">
        <v>163</v>
      </c>
      <c r="J23" s="17" t="s">
        <v>151</v>
      </c>
      <c r="K23" s="17" t="s">
        <v>42</v>
      </c>
      <c r="L23" s="17">
        <v>10000064</v>
      </c>
      <c r="M23" s="17" t="s">
        <v>230</v>
      </c>
      <c r="N23" s="17">
        <v>21424046</v>
      </c>
      <c r="O23" s="17" t="s">
        <v>884</v>
      </c>
      <c r="P23" s="17" t="s">
        <v>224</v>
      </c>
      <c r="Q23" s="17" t="s">
        <v>253</v>
      </c>
      <c r="R23" s="17" t="s">
        <v>884</v>
      </c>
      <c r="S23" s="17" t="s">
        <v>147</v>
      </c>
      <c r="T23" s="17" t="s">
        <v>223</v>
      </c>
      <c r="U23" s="17" t="s">
        <v>251</v>
      </c>
      <c r="V23" s="17" t="s">
        <v>883</v>
      </c>
      <c r="W23" s="17" t="s">
        <v>409</v>
      </c>
    </row>
    <row r="24" spans="1:23" x14ac:dyDescent="0.45">
      <c r="A24" s="17"/>
      <c r="B24" s="22">
        <v>46024</v>
      </c>
      <c r="C24" s="17">
        <v>151273360</v>
      </c>
      <c r="D24" s="26">
        <f>IFERROR(SUMIF(Servicios_Promotores!$B:$B,C24,Servicios_Promotores!$R:$R),0)</f>
        <v>0</v>
      </c>
      <c r="E24" s="26">
        <f>IFERROR(SUMIF(Pago_GERE!$B:$B,C24,Pago_GERE!$R:$R),0)</f>
        <v>0</v>
      </c>
      <c r="F24" s="26">
        <f>IFERROR(SUMIF(Hoja2!$H:$H,C24,Hoja2!$U:$U),0)</f>
        <v>0</v>
      </c>
      <c r="G24" s="17">
        <f>IFERROR(VLOOKUP(C24,Hoja3!$C:$D,2,FALSE),"")</f>
        <v>0</v>
      </c>
      <c r="H24" s="17"/>
      <c r="I24" s="17" t="s">
        <v>163</v>
      </c>
      <c r="J24" s="17" t="s">
        <v>151</v>
      </c>
      <c r="K24" s="17" t="s">
        <v>31</v>
      </c>
      <c r="L24" s="17">
        <v>10000064</v>
      </c>
      <c r="M24" s="17" t="s">
        <v>230</v>
      </c>
      <c r="N24" s="17">
        <v>151273360</v>
      </c>
      <c r="O24" s="17"/>
      <c r="P24" s="17" t="s">
        <v>179</v>
      </c>
      <c r="Q24" s="17"/>
      <c r="R24" s="17"/>
      <c r="S24" s="17" t="s">
        <v>147</v>
      </c>
      <c r="T24" s="17" t="s">
        <v>178</v>
      </c>
      <c r="U24" s="17" t="s">
        <v>182</v>
      </c>
      <c r="V24" s="17" t="s">
        <v>210</v>
      </c>
      <c r="W24" s="17"/>
    </row>
    <row r="25" spans="1:23" x14ac:dyDescent="0.45">
      <c r="A25" s="17" t="s">
        <v>1065</v>
      </c>
      <c r="B25" s="22">
        <v>46024</v>
      </c>
      <c r="C25" s="17">
        <v>151273695</v>
      </c>
      <c r="D25" s="26">
        <f>IFERROR(SUMIF(Servicios_Promotores!$B:$B,C25,Servicios_Promotores!$R:$R),0)</f>
        <v>0</v>
      </c>
      <c r="E25" s="26">
        <f>IFERROR(SUMIF(Pago_GERE!$B:$B,C25,Pago_GERE!$R:$R),0)</f>
        <v>0</v>
      </c>
      <c r="F25" s="26">
        <f>IFERROR(SUMIF(Hoja2!$H:$H,C25,Hoja2!$U:$U),0)</f>
        <v>0</v>
      </c>
      <c r="G25" s="17">
        <f>IFERROR(VLOOKUP(C25,Hoja3!$C:$D,2,FALSE),"")</f>
        <v>0</v>
      </c>
      <c r="H25" s="17"/>
      <c r="I25" s="17" t="s">
        <v>1128</v>
      </c>
      <c r="J25" s="17" t="s">
        <v>165</v>
      </c>
      <c r="K25" s="17" t="s">
        <v>42</v>
      </c>
      <c r="L25" s="17">
        <v>10000064</v>
      </c>
      <c r="M25" s="17" t="s">
        <v>229</v>
      </c>
      <c r="N25" s="17">
        <v>21397197</v>
      </c>
      <c r="O25" s="17" t="s">
        <v>1127</v>
      </c>
      <c r="P25" s="17" t="s">
        <v>224</v>
      </c>
      <c r="Q25" s="17" t="s">
        <v>1064</v>
      </c>
      <c r="R25" s="17" t="s">
        <v>1127</v>
      </c>
      <c r="S25" s="17" t="s">
        <v>147</v>
      </c>
      <c r="T25" s="17" t="s">
        <v>223</v>
      </c>
      <c r="U25" s="17" t="s">
        <v>251</v>
      </c>
      <c r="V25" s="17"/>
      <c r="W25" s="17"/>
    </row>
    <row r="26" spans="1:23" x14ac:dyDescent="0.45">
      <c r="A26" s="17"/>
      <c r="B26" s="22">
        <v>46024</v>
      </c>
      <c r="C26" s="17">
        <v>151273616</v>
      </c>
      <c r="D26" s="26">
        <f>IFERROR(SUMIF(Servicios_Promotores!$B:$B,C26,Servicios_Promotores!$R:$R),0)</f>
        <v>0</v>
      </c>
      <c r="E26" s="26">
        <f>IFERROR(SUMIF(Pago_GERE!$B:$B,C26,Pago_GERE!$R:$R),0)</f>
        <v>0</v>
      </c>
      <c r="F26" s="26">
        <f>IFERROR(SUMIF(Hoja2!$H:$H,C26,Hoja2!$U:$U),0)</f>
        <v>0</v>
      </c>
      <c r="G26" s="17">
        <f>IFERROR(VLOOKUP(C26,Hoja3!$C:$D,2,FALSE),"")</f>
        <v>0</v>
      </c>
      <c r="H26" s="17"/>
      <c r="I26" s="17" t="s">
        <v>152</v>
      </c>
      <c r="J26" s="17" t="s">
        <v>151</v>
      </c>
      <c r="K26" s="17" t="s">
        <v>31</v>
      </c>
      <c r="L26" s="17">
        <v>10000064</v>
      </c>
      <c r="M26" s="17" t="s">
        <v>229</v>
      </c>
      <c r="N26" s="17">
        <v>151273616</v>
      </c>
      <c r="O26" s="17"/>
      <c r="P26" s="17" t="s">
        <v>179</v>
      </c>
      <c r="Q26" s="17"/>
      <c r="R26" s="17"/>
      <c r="S26" s="17" t="s">
        <v>147</v>
      </c>
      <c r="T26" s="17" t="s">
        <v>178</v>
      </c>
      <c r="U26" s="17" t="s">
        <v>182</v>
      </c>
      <c r="V26" s="17" t="s">
        <v>210</v>
      </c>
      <c r="W26" s="17"/>
    </row>
    <row r="27" spans="1:23" x14ac:dyDescent="0.45">
      <c r="A27" s="17" t="s">
        <v>254</v>
      </c>
      <c r="B27" s="22">
        <v>46031</v>
      </c>
      <c r="C27" s="17">
        <v>151286333</v>
      </c>
      <c r="D27" s="26">
        <f>IFERROR(SUMIF(Servicios_Promotores!$B:$B,C27,Servicios_Promotores!$R:$R),0)</f>
        <v>0</v>
      </c>
      <c r="E27" s="26">
        <f>IFERROR(SUMIF(Pago_GERE!$B:$B,C27,Pago_GERE!$R:$R),0)</f>
        <v>0</v>
      </c>
      <c r="F27" s="26">
        <f>IFERROR(SUMIF(Hoja2!$H:$H,C27,Hoja2!$U:$U),0)</f>
        <v>498</v>
      </c>
      <c r="G27" s="17">
        <f>IFERROR(VLOOKUP(C27,Hoja3!$C:$D,2,FALSE),"")</f>
        <v>0</v>
      </c>
      <c r="H27" s="22">
        <v>46037</v>
      </c>
      <c r="I27" s="17" t="s">
        <v>163</v>
      </c>
      <c r="J27" s="17" t="s">
        <v>151</v>
      </c>
      <c r="K27" s="17" t="s">
        <v>55</v>
      </c>
      <c r="L27" s="17">
        <v>10001013</v>
      </c>
      <c r="M27" s="17" t="s">
        <v>228</v>
      </c>
      <c r="N27" s="17">
        <v>21573430</v>
      </c>
      <c r="O27" s="17" t="s">
        <v>916</v>
      </c>
      <c r="P27" s="17" t="s">
        <v>221</v>
      </c>
      <c r="Q27" s="17" t="s">
        <v>253</v>
      </c>
      <c r="R27" s="17" t="s">
        <v>916</v>
      </c>
      <c r="S27" s="17" t="s">
        <v>147</v>
      </c>
      <c r="T27" s="17" t="s">
        <v>55</v>
      </c>
      <c r="U27" s="17" t="s">
        <v>251</v>
      </c>
      <c r="V27" s="17" t="s">
        <v>915</v>
      </c>
      <c r="W27" s="17" t="s">
        <v>441</v>
      </c>
    </row>
    <row r="28" spans="1:23" x14ac:dyDescent="0.45">
      <c r="A28" s="17" t="s">
        <v>254</v>
      </c>
      <c r="B28" s="22">
        <v>46024</v>
      </c>
      <c r="C28" s="17">
        <v>151272932</v>
      </c>
      <c r="D28" s="26">
        <f>IFERROR(SUMIF(Servicios_Promotores!$B:$B,C28,Servicios_Promotores!$R:$R),0)</f>
        <v>0</v>
      </c>
      <c r="E28" s="26">
        <f>IFERROR(SUMIF(Pago_GERE!$B:$B,C28,Pago_GERE!$R:$R),0)</f>
        <v>0</v>
      </c>
      <c r="F28" s="26">
        <f>IFERROR(SUMIF(Hoja2!$H:$H,C28,Hoja2!$U:$U),0)</f>
        <v>1149</v>
      </c>
      <c r="G28" s="17">
        <f>IFERROR(VLOOKUP(C28,Hoja3!$C:$D,2,FALSE),"")</f>
        <v>0</v>
      </c>
      <c r="H28" s="22">
        <v>46032</v>
      </c>
      <c r="I28" s="17" t="s">
        <v>163</v>
      </c>
      <c r="J28" s="17" t="s">
        <v>151</v>
      </c>
      <c r="K28" s="17" t="s">
        <v>46</v>
      </c>
      <c r="L28" s="17">
        <v>10001013</v>
      </c>
      <c r="M28" s="17" t="s">
        <v>228</v>
      </c>
      <c r="N28" s="17">
        <v>21374721</v>
      </c>
      <c r="O28" s="17" t="s">
        <v>867</v>
      </c>
      <c r="P28" s="17" t="s">
        <v>868</v>
      </c>
      <c r="Q28" s="17" t="s">
        <v>253</v>
      </c>
      <c r="R28" s="17" t="s">
        <v>867</v>
      </c>
      <c r="S28" s="17" t="s">
        <v>147</v>
      </c>
      <c r="T28" s="17" t="s">
        <v>866</v>
      </c>
      <c r="U28" s="17" t="s">
        <v>251</v>
      </c>
      <c r="V28" s="17" t="s">
        <v>865</v>
      </c>
      <c r="W28" s="17" t="s">
        <v>864</v>
      </c>
    </row>
    <row r="29" spans="1:23" x14ac:dyDescent="0.45">
      <c r="A29" s="17"/>
      <c r="B29" s="22">
        <v>46028</v>
      </c>
      <c r="C29" s="17">
        <v>151278840</v>
      </c>
      <c r="D29" s="26">
        <f>IFERROR(SUMIF(Servicios_Promotores!$B:$B,C29,Servicios_Promotores!$R:$R),0)</f>
        <v>0</v>
      </c>
      <c r="E29" s="26">
        <f>IFERROR(SUMIF(Pago_GERE!$B:$B,C29,Pago_GERE!$R:$R),0)</f>
        <v>0</v>
      </c>
      <c r="F29" s="26">
        <f>IFERROR(SUMIF(Hoja2!$H:$H,C29,Hoja2!$U:$U),0)</f>
        <v>0</v>
      </c>
      <c r="G29" s="17">
        <f>IFERROR(VLOOKUP(C29,Hoja3!$C:$D,2,FALSE),"")</f>
        <v>0</v>
      </c>
      <c r="H29" s="17"/>
      <c r="I29" s="17" t="s">
        <v>158</v>
      </c>
      <c r="J29" s="17" t="s">
        <v>151</v>
      </c>
      <c r="K29" s="17" t="s">
        <v>39</v>
      </c>
      <c r="L29" s="17">
        <v>10001013</v>
      </c>
      <c r="M29" s="17" t="s">
        <v>228</v>
      </c>
      <c r="N29" s="17">
        <v>151278840</v>
      </c>
      <c r="O29" s="17"/>
      <c r="P29" s="17" t="s">
        <v>160</v>
      </c>
      <c r="Q29" s="17"/>
      <c r="R29" s="17"/>
      <c r="S29" s="17" t="s">
        <v>155</v>
      </c>
      <c r="T29" s="17" t="s">
        <v>159</v>
      </c>
      <c r="U29" s="17" t="s">
        <v>166</v>
      </c>
      <c r="V29" s="17" t="s">
        <v>210</v>
      </c>
      <c r="W29" s="17"/>
    </row>
    <row r="30" spans="1:23" x14ac:dyDescent="0.45">
      <c r="A30" s="17"/>
      <c r="B30" s="22">
        <v>46024</v>
      </c>
      <c r="C30" s="17">
        <v>151273169</v>
      </c>
      <c r="D30" s="26">
        <f>IFERROR(SUMIF(Servicios_Promotores!$B:$B,C30,Servicios_Promotores!$R:$R),0)</f>
        <v>0</v>
      </c>
      <c r="E30" s="26">
        <f>IFERROR(SUMIF(Pago_GERE!$B:$B,C30,Pago_GERE!$R:$R),0)</f>
        <v>0</v>
      </c>
      <c r="F30" s="26">
        <f>IFERROR(SUMIF(Hoja2!$H:$H,C30,Hoja2!$U:$U),0)</f>
        <v>0</v>
      </c>
      <c r="G30" s="17">
        <f>IFERROR(VLOOKUP(C30,Hoja3!$C:$D,2,FALSE),"")</f>
        <v>0</v>
      </c>
      <c r="H30" s="17"/>
      <c r="I30" s="17" t="s">
        <v>163</v>
      </c>
      <c r="J30" s="17" t="s">
        <v>151</v>
      </c>
      <c r="K30" s="17" t="s">
        <v>31</v>
      </c>
      <c r="L30" s="17">
        <v>10001013</v>
      </c>
      <c r="M30" s="17" t="s">
        <v>228</v>
      </c>
      <c r="N30" s="17">
        <v>151273169</v>
      </c>
      <c r="O30" s="17"/>
      <c r="P30" s="17" t="s">
        <v>179</v>
      </c>
      <c r="Q30" s="17"/>
      <c r="R30" s="17"/>
      <c r="S30" s="17" t="s">
        <v>147</v>
      </c>
      <c r="T30" s="17" t="s">
        <v>178</v>
      </c>
      <c r="U30" s="17" t="s">
        <v>182</v>
      </c>
      <c r="V30" s="17" t="s">
        <v>210</v>
      </c>
      <c r="W30" s="17"/>
    </row>
    <row r="31" spans="1:23" x14ac:dyDescent="0.45">
      <c r="A31" s="17"/>
      <c r="B31" s="22">
        <v>46024</v>
      </c>
      <c r="C31" s="17">
        <v>151273388</v>
      </c>
      <c r="D31" s="26">
        <f>IFERROR(SUMIF(Servicios_Promotores!$B:$B,C31,Servicios_Promotores!$R:$R),0)</f>
        <v>0</v>
      </c>
      <c r="E31" s="26">
        <f>IFERROR(SUMIF(Pago_GERE!$B:$B,C31,Pago_GERE!$R:$R),0)</f>
        <v>0</v>
      </c>
      <c r="F31" s="26">
        <f>IFERROR(SUMIF(Hoja2!$H:$H,C31,Hoja2!$U:$U),0)</f>
        <v>0</v>
      </c>
      <c r="G31" s="17">
        <f>IFERROR(VLOOKUP(C31,Hoja3!$C:$D,2,FALSE),"")</f>
        <v>0</v>
      </c>
      <c r="H31" s="17"/>
      <c r="I31" s="17" t="s">
        <v>194</v>
      </c>
      <c r="J31" s="17" t="s">
        <v>151</v>
      </c>
      <c r="K31" s="17" t="s">
        <v>31</v>
      </c>
      <c r="L31" s="17">
        <v>10001013</v>
      </c>
      <c r="M31" s="17" t="s">
        <v>228</v>
      </c>
      <c r="N31" s="17">
        <v>151273388</v>
      </c>
      <c r="O31" s="17"/>
      <c r="P31" s="17" t="s">
        <v>179</v>
      </c>
      <c r="Q31" s="17"/>
      <c r="R31" s="17"/>
      <c r="S31" s="17" t="s">
        <v>147</v>
      </c>
      <c r="T31" s="17" t="s">
        <v>178</v>
      </c>
      <c r="U31" s="17" t="s">
        <v>182</v>
      </c>
      <c r="V31" s="17" t="s">
        <v>210</v>
      </c>
      <c r="W31" s="17"/>
    </row>
    <row r="32" spans="1:23" x14ac:dyDescent="0.45">
      <c r="A32" s="17" t="s">
        <v>1065</v>
      </c>
      <c r="B32" s="22">
        <v>46046</v>
      </c>
      <c r="C32" s="17">
        <v>151314582</v>
      </c>
      <c r="D32" s="26">
        <f>IFERROR(SUMIF(Servicios_Promotores!$B:$B,C32,Servicios_Promotores!$R:$R),0)</f>
        <v>0</v>
      </c>
      <c r="E32" s="26">
        <f>IFERROR(SUMIF(Pago_GERE!$B:$B,C32,Pago_GERE!$R:$R),0)</f>
        <v>0</v>
      </c>
      <c r="F32" s="26">
        <f>IFERROR(SUMIF(Hoja2!$H:$H,C32,Hoja2!$U:$U),0)</f>
        <v>0</v>
      </c>
      <c r="G32" s="17">
        <f>IFERROR(VLOOKUP(C32,Hoja3!$C:$D,2,FALSE),"")</f>
        <v>0</v>
      </c>
      <c r="H32" s="17"/>
      <c r="I32" s="17" t="s">
        <v>152</v>
      </c>
      <c r="J32" s="17" t="s">
        <v>165</v>
      </c>
      <c r="K32" s="17" t="s">
        <v>42</v>
      </c>
      <c r="L32" s="17">
        <v>10001013</v>
      </c>
      <c r="M32" s="17" t="s">
        <v>239</v>
      </c>
      <c r="N32" s="17">
        <v>21927505</v>
      </c>
      <c r="O32" s="17" t="s">
        <v>1136</v>
      </c>
      <c r="P32" s="17" t="s">
        <v>148</v>
      </c>
      <c r="Q32" s="17" t="s">
        <v>1064</v>
      </c>
      <c r="R32" s="17" t="s">
        <v>1136</v>
      </c>
      <c r="S32" s="17" t="s">
        <v>147</v>
      </c>
      <c r="T32" s="17" t="s">
        <v>146</v>
      </c>
      <c r="U32" s="17" t="s">
        <v>251</v>
      </c>
      <c r="V32" s="17"/>
      <c r="W32" s="17"/>
    </row>
    <row r="33" spans="1:23" x14ac:dyDescent="0.45">
      <c r="A33" s="17" t="s">
        <v>1065</v>
      </c>
      <c r="B33" s="22">
        <v>46030</v>
      </c>
      <c r="C33" s="17">
        <v>151284457</v>
      </c>
      <c r="D33" s="26">
        <f>IFERROR(SUMIF(Servicios_Promotores!$B:$B,C33,Servicios_Promotores!$R:$R),0)</f>
        <v>0</v>
      </c>
      <c r="E33" s="26">
        <f>IFERROR(SUMIF(Pago_GERE!$B:$B,C33,Pago_GERE!$R:$R),0)</f>
        <v>0</v>
      </c>
      <c r="F33" s="26">
        <f>IFERROR(SUMIF(Hoja2!$H:$H,C33,Hoja2!$U:$U),0)</f>
        <v>0</v>
      </c>
      <c r="G33" s="17">
        <f>IFERROR(VLOOKUP(C33,Hoja3!$C:$D,2,FALSE),"")</f>
        <v>0</v>
      </c>
      <c r="H33" s="17"/>
      <c r="I33" s="17" t="s">
        <v>194</v>
      </c>
      <c r="J33" s="17" t="s">
        <v>151</v>
      </c>
      <c r="K33" s="17" t="s">
        <v>55</v>
      </c>
      <c r="L33" s="17">
        <v>10001013</v>
      </c>
      <c r="M33" s="17" t="s">
        <v>239</v>
      </c>
      <c r="N33" s="17">
        <v>21508498</v>
      </c>
      <c r="O33" s="17" t="s">
        <v>1130</v>
      </c>
      <c r="P33" s="17" t="s">
        <v>221</v>
      </c>
      <c r="Q33" s="17" t="s">
        <v>1064</v>
      </c>
      <c r="R33" s="17" t="s">
        <v>1130</v>
      </c>
      <c r="S33" s="17" t="s">
        <v>147</v>
      </c>
      <c r="T33" s="17" t="s">
        <v>55</v>
      </c>
      <c r="U33" s="17" t="s">
        <v>251</v>
      </c>
      <c r="V33" s="17"/>
      <c r="W33" s="17"/>
    </row>
    <row r="34" spans="1:23" x14ac:dyDescent="0.45">
      <c r="A34" s="17" t="s">
        <v>254</v>
      </c>
      <c r="B34" s="22">
        <v>46046</v>
      </c>
      <c r="C34" s="17">
        <v>151314622</v>
      </c>
      <c r="D34" s="26">
        <f>IFERROR(SUMIF(Servicios_Promotores!$B:$B,C34,Servicios_Promotores!$R:$R),0)</f>
        <v>0</v>
      </c>
      <c r="E34" s="26">
        <f>IFERROR(SUMIF(Pago_GERE!$B:$B,C34,Pago_GERE!$R:$R),0)</f>
        <v>0</v>
      </c>
      <c r="F34" s="26">
        <f>IFERROR(SUMIF(Hoja2!$H:$H,C34,Hoja2!$U:$U),0)</f>
        <v>0</v>
      </c>
      <c r="G34" s="17">
        <f>IFERROR(VLOOKUP(C34,Hoja3!$C:$D,2,FALSE),"")</f>
        <v>0</v>
      </c>
      <c r="H34" s="22">
        <v>46048</v>
      </c>
      <c r="I34" s="17" t="s">
        <v>158</v>
      </c>
      <c r="J34" s="17" t="s">
        <v>151</v>
      </c>
      <c r="K34" s="17" t="s">
        <v>42</v>
      </c>
      <c r="L34" s="17">
        <v>10001013</v>
      </c>
      <c r="M34" s="17" t="s">
        <v>239</v>
      </c>
      <c r="N34" s="17">
        <v>21926998</v>
      </c>
      <c r="O34" s="17" t="s">
        <v>1028</v>
      </c>
      <c r="P34" s="17" t="s">
        <v>148</v>
      </c>
      <c r="Q34" s="17" t="s">
        <v>253</v>
      </c>
      <c r="R34" s="17" t="s">
        <v>1028</v>
      </c>
      <c r="S34" s="17" t="s">
        <v>155</v>
      </c>
      <c r="T34" s="17" t="s">
        <v>146</v>
      </c>
      <c r="U34" s="17" t="s">
        <v>251</v>
      </c>
      <c r="V34" s="17" t="s">
        <v>1027</v>
      </c>
      <c r="W34" s="17" t="s">
        <v>315</v>
      </c>
    </row>
    <row r="35" spans="1:23" x14ac:dyDescent="0.45">
      <c r="A35" s="17" t="s">
        <v>254</v>
      </c>
      <c r="B35" s="22">
        <v>46046</v>
      </c>
      <c r="C35" s="17">
        <v>151314606</v>
      </c>
      <c r="D35" s="26">
        <f>IFERROR(SUMIF(Servicios_Promotores!$B:$B,C35,Servicios_Promotores!$R:$R),0)</f>
        <v>0</v>
      </c>
      <c r="E35" s="26">
        <f>IFERROR(SUMIF(Pago_GERE!$B:$B,C35,Pago_GERE!$R:$R),0)</f>
        <v>0</v>
      </c>
      <c r="F35" s="26">
        <f>IFERROR(SUMIF(Hoja2!$H:$H,C35,Hoja2!$U:$U),0)</f>
        <v>0</v>
      </c>
      <c r="G35" s="17">
        <f>IFERROR(VLOOKUP(C35,Hoja3!$C:$D,2,FALSE),"")</f>
        <v>0</v>
      </c>
      <c r="H35" s="22">
        <v>46048</v>
      </c>
      <c r="I35" s="17" t="s">
        <v>158</v>
      </c>
      <c r="J35" s="17" t="s">
        <v>151</v>
      </c>
      <c r="K35" s="17" t="s">
        <v>42</v>
      </c>
      <c r="L35" s="17">
        <v>10001013</v>
      </c>
      <c r="M35" s="17" t="s">
        <v>239</v>
      </c>
      <c r="N35" s="17">
        <v>21934517</v>
      </c>
      <c r="O35" s="17" t="s">
        <v>1026</v>
      </c>
      <c r="P35" s="17" t="s">
        <v>148</v>
      </c>
      <c r="Q35" s="17" t="s">
        <v>253</v>
      </c>
      <c r="R35" s="17" t="s">
        <v>1026</v>
      </c>
      <c r="S35" s="17" t="s">
        <v>155</v>
      </c>
      <c r="T35" s="17" t="s">
        <v>146</v>
      </c>
      <c r="U35" s="17" t="s">
        <v>251</v>
      </c>
      <c r="V35" s="17" t="s">
        <v>1025</v>
      </c>
      <c r="W35" s="17" t="s">
        <v>361</v>
      </c>
    </row>
    <row r="36" spans="1:23" x14ac:dyDescent="0.45">
      <c r="A36" s="17" t="s">
        <v>254</v>
      </c>
      <c r="B36" s="22">
        <v>46035</v>
      </c>
      <c r="C36" s="17">
        <v>151293463</v>
      </c>
      <c r="D36" s="26">
        <f>IFERROR(SUMIF(Servicios_Promotores!$B:$B,C36,Servicios_Promotores!$R:$R),0)</f>
        <v>0</v>
      </c>
      <c r="E36" s="26">
        <f>IFERROR(SUMIF(Pago_GERE!$B:$B,C36,Pago_GERE!$R:$R),0)</f>
        <v>0</v>
      </c>
      <c r="F36" s="26">
        <f>IFERROR(SUMIF(Hoja2!$H:$H,C36,Hoja2!$U:$U),0)</f>
        <v>0</v>
      </c>
      <c r="G36" s="17">
        <f>IFERROR(VLOOKUP(C36,Hoja3!$C:$D,2,FALSE),"")</f>
        <v>0</v>
      </c>
      <c r="H36" s="22">
        <v>46036</v>
      </c>
      <c r="I36" s="17" t="s">
        <v>209</v>
      </c>
      <c r="J36" s="17" t="s">
        <v>165</v>
      </c>
      <c r="K36" s="17" t="s">
        <v>42</v>
      </c>
      <c r="L36" s="17">
        <v>10001013</v>
      </c>
      <c r="M36" s="17" t="s">
        <v>239</v>
      </c>
      <c r="N36" s="17">
        <v>21619146</v>
      </c>
      <c r="O36" s="17" t="s">
        <v>944</v>
      </c>
      <c r="P36" s="17" t="s">
        <v>192</v>
      </c>
      <c r="Q36" s="17" t="s">
        <v>253</v>
      </c>
      <c r="R36" s="17" t="s">
        <v>944</v>
      </c>
      <c r="S36" s="17" t="s">
        <v>147</v>
      </c>
      <c r="T36" s="17" t="s">
        <v>146</v>
      </c>
      <c r="U36" s="17" t="s">
        <v>251</v>
      </c>
      <c r="V36" s="17" t="s">
        <v>943</v>
      </c>
      <c r="W36" s="17" t="s">
        <v>558</v>
      </c>
    </row>
    <row r="37" spans="1:23" x14ac:dyDescent="0.45">
      <c r="A37" s="17" t="s">
        <v>254</v>
      </c>
      <c r="B37" s="22">
        <v>46035</v>
      </c>
      <c r="C37" s="17">
        <v>151293510</v>
      </c>
      <c r="D37" s="26">
        <f>IFERROR(SUMIF(Servicios_Promotores!$B:$B,C37,Servicios_Promotores!$R:$R),0)</f>
        <v>0</v>
      </c>
      <c r="E37" s="26">
        <f>IFERROR(SUMIF(Pago_GERE!$B:$B,C37,Pago_GERE!$R:$R),0)</f>
        <v>0</v>
      </c>
      <c r="F37" s="26">
        <f>IFERROR(SUMIF(Hoja2!$H:$H,C37,Hoja2!$U:$U),0)</f>
        <v>0</v>
      </c>
      <c r="G37" s="17">
        <f>IFERROR(VLOOKUP(C37,Hoja3!$C:$D,2,FALSE),"")</f>
        <v>0</v>
      </c>
      <c r="H37" s="22">
        <v>46038</v>
      </c>
      <c r="I37" s="17" t="s">
        <v>163</v>
      </c>
      <c r="J37" s="17" t="s">
        <v>151</v>
      </c>
      <c r="K37" s="17" t="s">
        <v>42</v>
      </c>
      <c r="L37" s="17">
        <v>10001013</v>
      </c>
      <c r="M37" s="17" t="s">
        <v>239</v>
      </c>
      <c r="N37" s="17">
        <v>21619784</v>
      </c>
      <c r="O37" s="17" t="s">
        <v>933</v>
      </c>
      <c r="P37" s="17" t="s">
        <v>192</v>
      </c>
      <c r="Q37" s="17" t="s">
        <v>253</v>
      </c>
      <c r="R37" s="17" t="s">
        <v>933</v>
      </c>
      <c r="S37" s="17" t="s">
        <v>147</v>
      </c>
      <c r="T37" s="17" t="s">
        <v>146</v>
      </c>
      <c r="U37" s="17" t="s">
        <v>251</v>
      </c>
      <c r="V37" s="17" t="s">
        <v>932</v>
      </c>
      <c r="W37" s="17" t="s">
        <v>673</v>
      </c>
    </row>
    <row r="38" spans="1:23" x14ac:dyDescent="0.45">
      <c r="A38" s="17" t="s">
        <v>254</v>
      </c>
      <c r="B38" s="22">
        <v>46027</v>
      </c>
      <c r="C38" s="17">
        <v>151276282</v>
      </c>
      <c r="D38" s="26">
        <f>IFERROR(SUMIF(Servicios_Promotores!$B:$B,C38,Servicios_Promotores!$R:$R),0)</f>
        <v>0</v>
      </c>
      <c r="E38" s="26">
        <f>IFERROR(SUMIF(Pago_GERE!$B:$B,C38,Pago_GERE!$R:$R),0)</f>
        <v>0</v>
      </c>
      <c r="F38" s="26">
        <f>IFERROR(SUMIF(Hoja2!$H:$H,C38,Hoja2!$U:$U),0)</f>
        <v>0</v>
      </c>
      <c r="G38" s="17">
        <f>IFERROR(VLOOKUP(C38,Hoja3!$C:$D,2,FALSE),"")</f>
        <v>0</v>
      </c>
      <c r="H38" s="22">
        <v>46030</v>
      </c>
      <c r="I38" s="17" t="s">
        <v>163</v>
      </c>
      <c r="J38" s="17" t="s">
        <v>151</v>
      </c>
      <c r="K38" s="17" t="s">
        <v>31</v>
      </c>
      <c r="L38" s="17">
        <v>10000064</v>
      </c>
      <c r="M38" s="17" t="s">
        <v>888</v>
      </c>
      <c r="N38" s="17">
        <v>21404976</v>
      </c>
      <c r="O38" s="17" t="s">
        <v>887</v>
      </c>
      <c r="P38" s="17" t="s">
        <v>179</v>
      </c>
      <c r="Q38" s="17" t="s">
        <v>253</v>
      </c>
      <c r="R38" s="17" t="s">
        <v>887</v>
      </c>
      <c r="S38" s="17" t="s">
        <v>147</v>
      </c>
      <c r="T38" s="17" t="s">
        <v>178</v>
      </c>
      <c r="U38" s="17" t="s">
        <v>251</v>
      </c>
      <c r="V38" s="17" t="s">
        <v>886</v>
      </c>
      <c r="W38" s="17" t="s">
        <v>885</v>
      </c>
    </row>
    <row r="39" spans="1:23" x14ac:dyDescent="0.45">
      <c r="A39" s="17" t="s">
        <v>1065</v>
      </c>
      <c r="B39" s="22">
        <v>46032</v>
      </c>
      <c r="C39" s="17">
        <v>151288175</v>
      </c>
      <c r="D39" s="26">
        <f>IFERROR(SUMIF(Servicios_Promotores!$B:$B,C39,Servicios_Promotores!$R:$R),0)</f>
        <v>0</v>
      </c>
      <c r="E39" s="26">
        <f>IFERROR(SUMIF(Pago_GERE!$B:$B,C39,Pago_GERE!$R:$R),0)</f>
        <v>0</v>
      </c>
      <c r="F39" s="26">
        <f>IFERROR(SUMIF(Hoja2!$H:$H,C39,Hoja2!$U:$U),0)</f>
        <v>0</v>
      </c>
      <c r="G39" s="17">
        <f>IFERROR(VLOOKUP(C39,Hoja3!$C:$D,2,FALSE),"")</f>
        <v>0</v>
      </c>
      <c r="H39" s="17"/>
      <c r="I39" s="17" t="s">
        <v>158</v>
      </c>
      <c r="J39" s="17" t="s">
        <v>151</v>
      </c>
      <c r="K39" s="17" t="s">
        <v>42</v>
      </c>
      <c r="L39" s="17">
        <v>10001013</v>
      </c>
      <c r="M39" s="17" t="s">
        <v>207</v>
      </c>
      <c r="N39" s="17">
        <v>21562760</v>
      </c>
      <c r="O39" s="17" t="s">
        <v>1066</v>
      </c>
      <c r="P39" s="17" t="s">
        <v>148</v>
      </c>
      <c r="Q39" s="17" t="s">
        <v>1064</v>
      </c>
      <c r="R39" s="17" t="s">
        <v>1066</v>
      </c>
      <c r="S39" s="17" t="s">
        <v>155</v>
      </c>
      <c r="T39" s="17" t="s">
        <v>146</v>
      </c>
      <c r="U39" s="17" t="s">
        <v>251</v>
      </c>
      <c r="V39" s="17" t="s">
        <v>210</v>
      </c>
      <c r="W39" s="17"/>
    </row>
    <row r="40" spans="1:23" x14ac:dyDescent="0.45">
      <c r="A40" s="17" t="s">
        <v>1065</v>
      </c>
      <c r="B40" s="22">
        <v>46032</v>
      </c>
      <c r="C40" s="17">
        <v>151288088</v>
      </c>
      <c r="D40" s="26">
        <f>IFERROR(SUMIF(Servicios_Promotores!$B:$B,C40,Servicios_Promotores!$R:$R),0)</f>
        <v>0</v>
      </c>
      <c r="E40" s="26">
        <f>IFERROR(SUMIF(Pago_GERE!$B:$B,C40,Pago_GERE!$R:$R),0)</f>
        <v>0</v>
      </c>
      <c r="F40" s="26">
        <f>IFERROR(SUMIF(Hoja2!$H:$H,C40,Hoja2!$U:$U),0)</f>
        <v>0</v>
      </c>
      <c r="G40" s="17">
        <f>IFERROR(VLOOKUP(C40,Hoja3!$C:$D,2,FALSE),"")</f>
        <v>0</v>
      </c>
      <c r="H40" s="17"/>
      <c r="I40" s="17" t="s">
        <v>158</v>
      </c>
      <c r="J40" s="17" t="s">
        <v>151</v>
      </c>
      <c r="K40" s="17" t="s">
        <v>62</v>
      </c>
      <c r="L40" s="17">
        <v>10001013</v>
      </c>
      <c r="M40" s="17" t="s">
        <v>207</v>
      </c>
      <c r="N40" s="17">
        <v>21576529</v>
      </c>
      <c r="O40" s="17" t="s">
        <v>1132</v>
      </c>
      <c r="P40" s="17" t="s">
        <v>607</v>
      </c>
      <c r="Q40" s="17" t="s">
        <v>1064</v>
      </c>
      <c r="R40" s="17" t="s">
        <v>1132</v>
      </c>
      <c r="S40" s="17" t="s">
        <v>155</v>
      </c>
      <c r="T40" s="17" t="s">
        <v>187</v>
      </c>
      <c r="U40" s="17" t="s">
        <v>251</v>
      </c>
      <c r="V40" s="17"/>
      <c r="W40" s="17"/>
    </row>
    <row r="41" spans="1:23" x14ac:dyDescent="0.45">
      <c r="A41" s="17" t="s">
        <v>1065</v>
      </c>
      <c r="B41" s="22">
        <v>46032</v>
      </c>
      <c r="C41" s="17">
        <v>151288235</v>
      </c>
      <c r="D41" s="26">
        <f>IFERROR(SUMIF(Servicios_Promotores!$B:$B,C41,Servicios_Promotores!$R:$R),0)</f>
        <v>0</v>
      </c>
      <c r="E41" s="26">
        <f>IFERROR(SUMIF(Pago_GERE!$B:$B,C41,Pago_GERE!$R:$R),0)</f>
        <v>0</v>
      </c>
      <c r="F41" s="26">
        <f>IFERROR(SUMIF(Hoja2!$H:$H,C41,Hoja2!$U:$U),0)</f>
        <v>0</v>
      </c>
      <c r="G41" s="17">
        <f>IFERROR(VLOOKUP(C41,Hoja3!$C:$D,2,FALSE),"")</f>
        <v>0</v>
      </c>
      <c r="H41" s="17"/>
      <c r="I41" s="17" t="s">
        <v>158</v>
      </c>
      <c r="J41" s="17" t="s">
        <v>151</v>
      </c>
      <c r="K41" s="17" t="s">
        <v>39</v>
      </c>
      <c r="L41" s="17">
        <v>10001013</v>
      </c>
      <c r="M41" s="17" t="s">
        <v>207</v>
      </c>
      <c r="N41" s="17">
        <v>21573822</v>
      </c>
      <c r="O41" s="17" t="s">
        <v>1066</v>
      </c>
      <c r="P41" s="17" t="s">
        <v>160</v>
      </c>
      <c r="Q41" s="17" t="s">
        <v>1064</v>
      </c>
      <c r="R41" s="17" t="s">
        <v>1066</v>
      </c>
      <c r="S41" s="17" t="s">
        <v>155</v>
      </c>
      <c r="T41" s="17" t="s">
        <v>159</v>
      </c>
      <c r="U41" s="17" t="s">
        <v>251</v>
      </c>
      <c r="V41" s="17" t="s">
        <v>210</v>
      </c>
      <c r="W41" s="17"/>
    </row>
    <row r="42" spans="1:23" x14ac:dyDescent="0.45">
      <c r="A42" s="17" t="s">
        <v>1065</v>
      </c>
      <c r="B42" s="22">
        <v>46031</v>
      </c>
      <c r="C42" s="17">
        <v>151286762</v>
      </c>
      <c r="D42" s="26">
        <f>IFERROR(SUMIF(Servicios_Promotores!$B:$B,C42,Servicios_Promotores!$R:$R),0)</f>
        <v>0</v>
      </c>
      <c r="E42" s="26">
        <f>IFERROR(SUMIF(Pago_GERE!$B:$B,C42,Pago_GERE!$R:$R),0)</f>
        <v>0</v>
      </c>
      <c r="F42" s="26">
        <f>IFERROR(SUMIF(Hoja2!$H:$H,C42,Hoja2!$U:$U),0)</f>
        <v>0</v>
      </c>
      <c r="G42" s="17">
        <f>IFERROR(VLOOKUP(C42,Hoja3!$C:$D,2,FALSE),"")</f>
        <v>0</v>
      </c>
      <c r="H42" s="17"/>
      <c r="I42" s="17" t="s">
        <v>152</v>
      </c>
      <c r="J42" s="17" t="s">
        <v>151</v>
      </c>
      <c r="K42" s="17" t="s">
        <v>36</v>
      </c>
      <c r="L42" s="17">
        <v>10001013</v>
      </c>
      <c r="M42" s="17" t="s">
        <v>207</v>
      </c>
      <c r="N42" s="17">
        <v>21551633</v>
      </c>
      <c r="O42" s="17" t="s">
        <v>1066</v>
      </c>
      <c r="P42" s="17" t="s">
        <v>174</v>
      </c>
      <c r="Q42" s="17" t="s">
        <v>1064</v>
      </c>
      <c r="R42" s="17" t="s">
        <v>1066</v>
      </c>
      <c r="S42" s="17" t="s">
        <v>147</v>
      </c>
      <c r="T42" s="17" t="s">
        <v>173</v>
      </c>
      <c r="U42" s="17" t="s">
        <v>251</v>
      </c>
      <c r="V42" s="17" t="s">
        <v>210</v>
      </c>
      <c r="W42" s="17"/>
    </row>
    <row r="43" spans="1:23" x14ac:dyDescent="0.45">
      <c r="A43" s="17" t="s">
        <v>1065</v>
      </c>
      <c r="B43" s="22">
        <v>46031</v>
      </c>
      <c r="C43" s="17">
        <v>151286732</v>
      </c>
      <c r="D43" s="26">
        <f>IFERROR(SUMIF(Servicios_Promotores!$B:$B,C43,Servicios_Promotores!$R:$R),0)</f>
        <v>0</v>
      </c>
      <c r="E43" s="26">
        <f>IFERROR(SUMIF(Pago_GERE!$B:$B,C43,Pago_GERE!$R:$R),0)</f>
        <v>0</v>
      </c>
      <c r="F43" s="26">
        <f>IFERROR(SUMIF(Hoja2!$H:$H,C43,Hoja2!$U:$U),0)</f>
        <v>0</v>
      </c>
      <c r="G43" s="17">
        <f>IFERROR(VLOOKUP(C43,Hoja3!$C:$D,2,FALSE),"")</f>
        <v>0</v>
      </c>
      <c r="H43" s="17"/>
      <c r="I43" s="17" t="s">
        <v>152</v>
      </c>
      <c r="J43" s="17" t="s">
        <v>151</v>
      </c>
      <c r="K43" s="17" t="s">
        <v>36</v>
      </c>
      <c r="L43" s="17">
        <v>10001013</v>
      </c>
      <c r="M43" s="17" t="s">
        <v>207</v>
      </c>
      <c r="N43" s="17">
        <v>21551191</v>
      </c>
      <c r="O43" s="17" t="s">
        <v>1066</v>
      </c>
      <c r="P43" s="17" t="s">
        <v>174</v>
      </c>
      <c r="Q43" s="17" t="s">
        <v>1064</v>
      </c>
      <c r="R43" s="17" t="s">
        <v>1066</v>
      </c>
      <c r="S43" s="17" t="s">
        <v>147</v>
      </c>
      <c r="T43" s="17" t="s">
        <v>173</v>
      </c>
      <c r="U43" s="17" t="s">
        <v>251</v>
      </c>
      <c r="V43" s="17" t="s">
        <v>210</v>
      </c>
      <c r="W43" s="17"/>
    </row>
    <row r="44" spans="1:23" x14ac:dyDescent="0.45">
      <c r="A44" s="17" t="s">
        <v>1065</v>
      </c>
      <c r="B44" s="22">
        <v>46108</v>
      </c>
      <c r="C44" s="17">
        <v>151428371</v>
      </c>
      <c r="D44" s="26">
        <f>IFERROR(SUMIF(Servicios_Promotores!$B:$B,C44,Servicios_Promotores!$R:$R),0)</f>
        <v>0</v>
      </c>
      <c r="E44" s="26">
        <f>IFERROR(SUMIF(Pago_GERE!$B:$B,C44,Pago_GERE!$R:$R),0)</f>
        <v>0</v>
      </c>
      <c r="F44" s="26">
        <f>IFERROR(SUMIF(Hoja2!$H:$H,C44,Hoja2!$U:$U),0)</f>
        <v>0</v>
      </c>
      <c r="G44" s="17">
        <f>IFERROR(VLOOKUP(C44,Hoja3!$C:$D,2,FALSE),"")</f>
        <v>0</v>
      </c>
      <c r="H44" s="17"/>
      <c r="I44" s="17" t="s">
        <v>163</v>
      </c>
      <c r="J44" s="17" t="s">
        <v>151</v>
      </c>
      <c r="K44" s="17" t="s">
        <v>31</v>
      </c>
      <c r="L44" s="17">
        <v>10001013</v>
      </c>
      <c r="M44" s="17" t="s">
        <v>207</v>
      </c>
      <c r="N44" s="17">
        <v>23926794</v>
      </c>
      <c r="O44" s="17" t="s">
        <v>1107</v>
      </c>
      <c r="P44" s="17" t="s">
        <v>179</v>
      </c>
      <c r="Q44" s="17" t="s">
        <v>1064</v>
      </c>
      <c r="R44" s="17" t="s">
        <v>1107</v>
      </c>
      <c r="S44" s="17" t="s">
        <v>147</v>
      </c>
      <c r="T44" s="17" t="s">
        <v>178</v>
      </c>
      <c r="U44" s="17" t="s">
        <v>251</v>
      </c>
      <c r="V44" s="17"/>
      <c r="W44" s="17"/>
    </row>
    <row r="45" spans="1:23" x14ac:dyDescent="0.45">
      <c r="A45" s="17" t="s">
        <v>1065</v>
      </c>
      <c r="B45" s="22">
        <v>46103</v>
      </c>
      <c r="C45" s="17">
        <v>151417633</v>
      </c>
      <c r="D45" s="26">
        <f>IFERROR(SUMIF(Servicios_Promotores!$B:$B,C45,Servicios_Promotores!$R:$R),0)</f>
        <v>0</v>
      </c>
      <c r="E45" s="26">
        <f>IFERROR(SUMIF(Pago_GERE!$B:$B,C45,Pago_GERE!$R:$R),0)</f>
        <v>0</v>
      </c>
      <c r="F45" s="26">
        <f>IFERROR(SUMIF(Hoja2!$H:$H,C45,Hoja2!$U:$U),0)</f>
        <v>0</v>
      </c>
      <c r="G45" s="17">
        <f>IFERROR(VLOOKUP(C45,Hoja3!$C:$D,2,FALSE),"")</f>
        <v>0</v>
      </c>
      <c r="H45" s="17"/>
      <c r="I45" s="17" t="s">
        <v>152</v>
      </c>
      <c r="J45" s="17" t="s">
        <v>151</v>
      </c>
      <c r="K45" s="17" t="s">
        <v>36</v>
      </c>
      <c r="L45" s="17">
        <v>10001013</v>
      </c>
      <c r="M45" s="17" t="s">
        <v>207</v>
      </c>
      <c r="N45" s="17">
        <v>23709671</v>
      </c>
      <c r="O45" s="17" t="s">
        <v>1066</v>
      </c>
      <c r="P45" s="17" t="s">
        <v>174</v>
      </c>
      <c r="Q45" s="17" t="s">
        <v>1064</v>
      </c>
      <c r="R45" s="17" t="s">
        <v>1066</v>
      </c>
      <c r="S45" s="17" t="s">
        <v>147</v>
      </c>
      <c r="T45" s="17" t="s">
        <v>173</v>
      </c>
      <c r="U45" s="17" t="s">
        <v>251</v>
      </c>
      <c r="V45" s="17"/>
      <c r="W45" s="17"/>
    </row>
    <row r="46" spans="1:23" x14ac:dyDescent="0.45">
      <c r="A46" s="17" t="s">
        <v>1065</v>
      </c>
      <c r="B46" s="22">
        <v>46102</v>
      </c>
      <c r="C46" s="17">
        <v>151417073</v>
      </c>
      <c r="D46" s="26">
        <f>IFERROR(SUMIF(Servicios_Promotores!$B:$B,C46,Servicios_Promotores!$R:$R),0)</f>
        <v>0</v>
      </c>
      <c r="E46" s="26">
        <f>IFERROR(SUMIF(Pago_GERE!$B:$B,C46,Pago_GERE!$R:$R),0)</f>
        <v>0</v>
      </c>
      <c r="F46" s="26">
        <f>IFERROR(SUMIF(Hoja2!$H:$H,C46,Hoja2!$U:$U),0)</f>
        <v>0</v>
      </c>
      <c r="G46" s="17">
        <f>IFERROR(VLOOKUP(C46,Hoja3!$C:$D,2,FALSE),"")</f>
        <v>0</v>
      </c>
      <c r="H46" s="17"/>
      <c r="I46" s="17" t="s">
        <v>152</v>
      </c>
      <c r="J46" s="17" t="s">
        <v>151</v>
      </c>
      <c r="K46" s="17" t="s">
        <v>42</v>
      </c>
      <c r="L46" s="17">
        <v>10001013</v>
      </c>
      <c r="M46" s="17" t="s">
        <v>207</v>
      </c>
      <c r="N46" s="17">
        <v>23708432</v>
      </c>
      <c r="O46" s="17" t="s">
        <v>1066</v>
      </c>
      <c r="P46" s="17" t="s">
        <v>148</v>
      </c>
      <c r="Q46" s="17" t="s">
        <v>1064</v>
      </c>
      <c r="R46" s="17" t="s">
        <v>1066</v>
      </c>
      <c r="S46" s="17" t="s">
        <v>147</v>
      </c>
      <c r="T46" s="17" t="s">
        <v>146</v>
      </c>
      <c r="U46" s="17" t="s">
        <v>251</v>
      </c>
      <c r="V46" s="17"/>
      <c r="W46" s="17"/>
    </row>
    <row r="47" spans="1:23" x14ac:dyDescent="0.45">
      <c r="A47" s="17" t="s">
        <v>1065</v>
      </c>
      <c r="B47" s="22">
        <v>46088</v>
      </c>
      <c r="C47" s="17">
        <v>151392101</v>
      </c>
      <c r="D47" s="26">
        <f>IFERROR(SUMIF(Servicios_Promotores!$B:$B,C47,Servicios_Promotores!$R:$R),0)</f>
        <v>0</v>
      </c>
      <c r="E47" s="26">
        <f>IFERROR(SUMIF(Pago_GERE!$B:$B,C47,Pago_GERE!$R:$R),0)</f>
        <v>0</v>
      </c>
      <c r="F47" s="26">
        <f>IFERROR(SUMIF(Hoja2!$H:$H,C47,Hoja2!$U:$U),0)</f>
        <v>0</v>
      </c>
      <c r="G47" s="17">
        <f>IFERROR(VLOOKUP(C47,Hoja3!$C:$D,2,FALSE),"")</f>
        <v>0</v>
      </c>
      <c r="H47" s="17"/>
      <c r="I47" s="17" t="s">
        <v>204</v>
      </c>
      <c r="J47" s="17" t="s">
        <v>151</v>
      </c>
      <c r="K47" s="17" t="s">
        <v>42</v>
      </c>
      <c r="L47" s="17">
        <v>10001013</v>
      </c>
      <c r="M47" s="17" t="s">
        <v>207</v>
      </c>
      <c r="N47" s="17">
        <v>22865207</v>
      </c>
      <c r="O47" s="17" t="s">
        <v>1066</v>
      </c>
      <c r="P47" s="17" t="s">
        <v>148</v>
      </c>
      <c r="Q47" s="17" t="s">
        <v>1064</v>
      </c>
      <c r="R47" s="17" t="s">
        <v>1066</v>
      </c>
      <c r="S47" s="17" t="s">
        <v>155</v>
      </c>
      <c r="T47" s="17" t="s">
        <v>146</v>
      </c>
      <c r="U47" s="17" t="s">
        <v>251</v>
      </c>
      <c r="V47" s="17"/>
      <c r="W47" s="17"/>
    </row>
    <row r="48" spans="1:23" x14ac:dyDescent="0.45">
      <c r="A48" s="17" t="s">
        <v>254</v>
      </c>
      <c r="B48" s="22">
        <v>46032</v>
      </c>
      <c r="C48" s="17">
        <v>151288120</v>
      </c>
      <c r="D48" s="26">
        <f>IFERROR(SUMIF(Servicios_Promotores!$B:$B,C48,Servicios_Promotores!$R:$R),0)</f>
        <v>0</v>
      </c>
      <c r="E48" s="26">
        <f>IFERROR(SUMIF(Pago_GERE!$B:$B,C48,Pago_GERE!$R:$R),0)</f>
        <v>0</v>
      </c>
      <c r="F48" s="26">
        <f>IFERROR(SUMIF(Hoja2!$H:$H,C48,Hoja2!$U:$U),0)</f>
        <v>1298</v>
      </c>
      <c r="G48" s="17">
        <f>IFERROR(VLOOKUP(C48,Hoja3!$C:$D,2,FALSE),"")</f>
        <v>0</v>
      </c>
      <c r="H48" s="22">
        <v>46037</v>
      </c>
      <c r="I48" s="17" t="s">
        <v>158</v>
      </c>
      <c r="J48" s="17" t="s">
        <v>151</v>
      </c>
      <c r="K48" s="17" t="s">
        <v>101</v>
      </c>
      <c r="L48" s="17">
        <v>10001013</v>
      </c>
      <c r="M48" s="17" t="s">
        <v>207</v>
      </c>
      <c r="N48" s="17">
        <v>21577052</v>
      </c>
      <c r="O48" s="17" t="s">
        <v>926</v>
      </c>
      <c r="P48" s="17" t="s">
        <v>156</v>
      </c>
      <c r="Q48" s="17" t="s">
        <v>253</v>
      </c>
      <c r="R48" s="17" t="s">
        <v>926</v>
      </c>
      <c r="S48" s="17" t="s">
        <v>155</v>
      </c>
      <c r="T48" s="17" t="s">
        <v>154</v>
      </c>
      <c r="U48" s="17" t="s">
        <v>251</v>
      </c>
      <c r="V48" s="17" t="s">
        <v>925</v>
      </c>
      <c r="W48" s="17" t="s">
        <v>924</v>
      </c>
    </row>
    <row r="49" spans="1:23" x14ac:dyDescent="0.45">
      <c r="A49" s="17" t="s">
        <v>254</v>
      </c>
      <c r="B49" s="22">
        <v>46031</v>
      </c>
      <c r="C49" s="17">
        <v>151286591</v>
      </c>
      <c r="D49" s="26">
        <f>IFERROR(SUMIF(Servicios_Promotores!$B:$B,C49,Servicios_Promotores!$R:$R),0)</f>
        <v>0</v>
      </c>
      <c r="E49" s="26">
        <f>IFERROR(SUMIF(Pago_GERE!$B:$B,C49,Pago_GERE!$R:$R),0)</f>
        <v>0</v>
      </c>
      <c r="F49" s="26">
        <f>IFERROR(SUMIF(Hoja2!$H:$H,C49,Hoja2!$U:$U),0)</f>
        <v>0</v>
      </c>
      <c r="G49" s="17">
        <f>IFERROR(VLOOKUP(C49,Hoja3!$C:$D,2,FALSE),"")</f>
        <v>0</v>
      </c>
      <c r="H49" s="22">
        <v>46036</v>
      </c>
      <c r="I49" s="17" t="s">
        <v>152</v>
      </c>
      <c r="J49" s="17" t="s">
        <v>151</v>
      </c>
      <c r="K49" s="17" t="s">
        <v>42</v>
      </c>
      <c r="L49" s="17">
        <v>10001013</v>
      </c>
      <c r="M49" s="17" t="s">
        <v>207</v>
      </c>
      <c r="N49" s="17">
        <v>21585679</v>
      </c>
      <c r="O49" s="17" t="s">
        <v>919</v>
      </c>
      <c r="P49" s="17" t="s">
        <v>192</v>
      </c>
      <c r="Q49" s="17" t="s">
        <v>253</v>
      </c>
      <c r="R49" s="17" t="s">
        <v>919</v>
      </c>
      <c r="S49" s="17" t="s">
        <v>147</v>
      </c>
      <c r="T49" s="17" t="s">
        <v>146</v>
      </c>
      <c r="U49" s="17" t="s">
        <v>251</v>
      </c>
      <c r="V49" s="17" t="s">
        <v>918</v>
      </c>
      <c r="W49" s="17" t="s">
        <v>917</v>
      </c>
    </row>
    <row r="50" spans="1:23" x14ac:dyDescent="0.45">
      <c r="A50" s="17" t="s">
        <v>254</v>
      </c>
      <c r="B50" s="22">
        <v>46080</v>
      </c>
      <c r="C50" s="17">
        <v>151377634</v>
      </c>
      <c r="D50" s="26">
        <f>IFERROR(SUMIF(Servicios_Promotores!$B:$B,C50,Servicios_Promotores!$R:$R),0)</f>
        <v>0</v>
      </c>
      <c r="E50" s="26">
        <f>IFERROR(SUMIF(Pago_GERE!$B:$B,C50,Pago_GERE!$R:$R),0)</f>
        <v>0</v>
      </c>
      <c r="F50" s="26">
        <f>IFERROR(SUMIF(Hoja2!$H:$H,C50,Hoja2!$U:$U),0)</f>
        <v>949</v>
      </c>
      <c r="G50" s="17">
        <f>IFERROR(VLOOKUP(C50,Hoja3!$C:$D,2,FALSE),"")</f>
        <v>0</v>
      </c>
      <c r="H50" s="22">
        <v>46081</v>
      </c>
      <c r="I50" s="17" t="s">
        <v>163</v>
      </c>
      <c r="J50" s="17" t="s">
        <v>151</v>
      </c>
      <c r="K50" s="17" t="s">
        <v>101</v>
      </c>
      <c r="L50" s="17">
        <v>10001013</v>
      </c>
      <c r="M50" s="17" t="s">
        <v>207</v>
      </c>
      <c r="N50" s="17">
        <v>22681884</v>
      </c>
      <c r="O50" s="17" t="s">
        <v>852</v>
      </c>
      <c r="P50" s="17" t="s">
        <v>156</v>
      </c>
      <c r="Q50" s="17" t="s">
        <v>253</v>
      </c>
      <c r="R50" s="17" t="s">
        <v>852</v>
      </c>
      <c r="S50" s="17" t="s">
        <v>147</v>
      </c>
      <c r="T50" s="17" t="s">
        <v>154</v>
      </c>
      <c r="U50" s="17" t="s">
        <v>251</v>
      </c>
      <c r="V50" s="17" t="s">
        <v>851</v>
      </c>
      <c r="W50" s="17" t="s">
        <v>441</v>
      </c>
    </row>
    <row r="51" spans="1:23" x14ac:dyDescent="0.45">
      <c r="A51" s="17" t="s">
        <v>254</v>
      </c>
      <c r="B51" s="22">
        <v>46102</v>
      </c>
      <c r="C51" s="17">
        <v>151417029</v>
      </c>
      <c r="D51" s="26">
        <f>IFERROR(SUMIF(Servicios_Promotores!$B:$B,C51,Servicios_Promotores!$R:$R),0)</f>
        <v>334.66500000050002</v>
      </c>
      <c r="E51" s="26">
        <f>IFERROR(SUMIF(Pago_GERE!$B:$B,C51,Pago_GERE!$R:$R),0)</f>
        <v>258.66500002849995</v>
      </c>
      <c r="F51" s="26">
        <f>IFERROR(SUMIF(Hoja2!$H:$H,C51,Hoja2!$U:$U),0)</f>
        <v>0</v>
      </c>
      <c r="G51" s="17">
        <f>IFERROR(VLOOKUP(C51,Hoja3!$C:$D,2,FALSE),"")</f>
        <v>0</v>
      </c>
      <c r="H51" s="22">
        <v>46105</v>
      </c>
      <c r="I51" s="17" t="s">
        <v>152</v>
      </c>
      <c r="J51" s="17" t="s">
        <v>165</v>
      </c>
      <c r="K51" s="17" t="s">
        <v>31</v>
      </c>
      <c r="L51" s="17">
        <v>10001013</v>
      </c>
      <c r="M51" s="17" t="s">
        <v>207</v>
      </c>
      <c r="N51" s="17">
        <v>23802224</v>
      </c>
      <c r="O51" s="17" t="s">
        <v>659</v>
      </c>
      <c r="P51" s="17" t="s">
        <v>179</v>
      </c>
      <c r="Q51" s="17" t="s">
        <v>253</v>
      </c>
      <c r="R51" s="17" t="s">
        <v>659</v>
      </c>
      <c r="S51" s="17" t="s">
        <v>147</v>
      </c>
      <c r="T51" s="17" t="s">
        <v>178</v>
      </c>
      <c r="U51" s="17" t="s">
        <v>251</v>
      </c>
      <c r="V51" s="17" t="s">
        <v>658</v>
      </c>
      <c r="W51" s="17" t="s">
        <v>489</v>
      </c>
    </row>
    <row r="52" spans="1:23" x14ac:dyDescent="0.45">
      <c r="A52" s="17"/>
      <c r="B52" s="22">
        <v>46108</v>
      </c>
      <c r="C52" s="17">
        <v>151428472</v>
      </c>
      <c r="D52" s="26">
        <f>IFERROR(SUMIF(Servicios_Promotores!$B:$B,C52,Servicios_Promotores!$R:$R),0)</f>
        <v>0</v>
      </c>
      <c r="E52" s="26">
        <f>IFERROR(SUMIF(Pago_GERE!$B:$B,C52,Pago_GERE!$R:$R),0)</f>
        <v>0</v>
      </c>
      <c r="F52" s="26">
        <f>IFERROR(SUMIF(Hoja2!$H:$H,C52,Hoja2!$U:$U),0)</f>
        <v>0</v>
      </c>
      <c r="G52" s="17">
        <f>IFERROR(VLOOKUP(C52,Hoja3!$C:$D,2,FALSE),"")</f>
        <v>0</v>
      </c>
      <c r="H52" s="17"/>
      <c r="I52" s="17" t="s">
        <v>209</v>
      </c>
      <c r="J52" s="17" t="s">
        <v>165</v>
      </c>
      <c r="K52" s="17" t="s">
        <v>31</v>
      </c>
      <c r="L52" s="17">
        <v>10001013</v>
      </c>
      <c r="M52" s="17" t="s">
        <v>207</v>
      </c>
      <c r="N52" s="17">
        <v>151428472</v>
      </c>
      <c r="O52" s="17" t="s">
        <v>208</v>
      </c>
      <c r="P52" s="17" t="s">
        <v>179</v>
      </c>
      <c r="Q52" s="17"/>
      <c r="R52" s="17"/>
      <c r="S52" s="17" t="s">
        <v>147</v>
      </c>
      <c r="T52" s="17" t="s">
        <v>178</v>
      </c>
      <c r="U52" s="17" t="s">
        <v>182</v>
      </c>
      <c r="V52" s="17"/>
      <c r="W52" s="17"/>
    </row>
    <row r="53" spans="1:23" x14ac:dyDescent="0.45">
      <c r="A53" s="17"/>
      <c r="B53" s="22">
        <v>46108</v>
      </c>
      <c r="C53" s="17">
        <v>151428424</v>
      </c>
      <c r="D53" s="26">
        <f>IFERROR(SUMIF(Servicios_Promotores!$B:$B,C53,Servicios_Promotores!$R:$R),0)</f>
        <v>0</v>
      </c>
      <c r="E53" s="26">
        <f>IFERROR(SUMIF(Pago_GERE!$B:$B,C53,Pago_GERE!$R:$R),0)</f>
        <v>0</v>
      </c>
      <c r="F53" s="26">
        <f>IFERROR(SUMIF(Hoja2!$H:$H,C53,Hoja2!$U:$U),0)</f>
        <v>0</v>
      </c>
      <c r="G53" s="17">
        <f>IFERROR(VLOOKUP(C53,Hoja3!$C:$D,2,FALSE),"")</f>
        <v>0</v>
      </c>
      <c r="H53" s="17"/>
      <c r="I53" s="17" t="s">
        <v>152</v>
      </c>
      <c r="J53" s="17" t="s">
        <v>165</v>
      </c>
      <c r="K53" s="17" t="s">
        <v>31</v>
      </c>
      <c r="L53" s="17">
        <v>10001013</v>
      </c>
      <c r="M53" s="17" t="s">
        <v>207</v>
      </c>
      <c r="N53" s="17">
        <v>151428424</v>
      </c>
      <c r="O53" s="17" t="s">
        <v>206</v>
      </c>
      <c r="P53" s="17" t="s">
        <v>179</v>
      </c>
      <c r="Q53" s="17"/>
      <c r="R53" s="17"/>
      <c r="S53" s="17" t="s">
        <v>147</v>
      </c>
      <c r="T53" s="17" t="s">
        <v>178</v>
      </c>
      <c r="U53" s="17" t="s">
        <v>182</v>
      </c>
      <c r="V53" s="17"/>
      <c r="W53" s="17"/>
    </row>
    <row r="54" spans="1:23" x14ac:dyDescent="0.45">
      <c r="A54" s="17" t="s">
        <v>1065</v>
      </c>
      <c r="B54" s="22">
        <v>46035</v>
      </c>
      <c r="C54" s="17">
        <v>151293966</v>
      </c>
      <c r="D54" s="26">
        <f>IFERROR(SUMIF(Servicios_Promotores!$B:$B,C54,Servicios_Promotores!$R:$R),0)</f>
        <v>0</v>
      </c>
      <c r="E54" s="26">
        <f>IFERROR(SUMIF(Pago_GERE!$B:$B,C54,Pago_GERE!$R:$R),0)</f>
        <v>0</v>
      </c>
      <c r="F54" s="26">
        <f>IFERROR(SUMIF(Hoja2!$H:$H,C54,Hoja2!$U:$U),0)</f>
        <v>0</v>
      </c>
      <c r="G54" s="17">
        <f>IFERROR(VLOOKUP(C54,Hoja3!$C:$D,2,FALSE),"")</f>
        <v>0</v>
      </c>
      <c r="H54" s="17"/>
      <c r="I54" s="17" t="s">
        <v>152</v>
      </c>
      <c r="J54" s="17" t="s">
        <v>151</v>
      </c>
      <c r="K54" s="17" t="s">
        <v>36</v>
      </c>
      <c r="L54" s="17">
        <v>10000064</v>
      </c>
      <c r="M54" s="17" t="s">
        <v>227</v>
      </c>
      <c r="N54" s="17">
        <v>21659076</v>
      </c>
      <c r="O54" s="17" t="s">
        <v>1066</v>
      </c>
      <c r="P54" s="17" t="s">
        <v>174</v>
      </c>
      <c r="Q54" s="17" t="s">
        <v>1064</v>
      </c>
      <c r="R54" s="17" t="s">
        <v>1066</v>
      </c>
      <c r="S54" s="17" t="s">
        <v>147</v>
      </c>
      <c r="T54" s="17" t="s">
        <v>173</v>
      </c>
      <c r="U54" s="17" t="s">
        <v>251</v>
      </c>
      <c r="V54" s="17" t="s">
        <v>210</v>
      </c>
      <c r="W54" s="17"/>
    </row>
    <row r="55" spans="1:23" x14ac:dyDescent="0.45">
      <c r="A55" s="17" t="s">
        <v>254</v>
      </c>
      <c r="B55" s="22">
        <v>46036</v>
      </c>
      <c r="C55" s="17">
        <v>151296437</v>
      </c>
      <c r="D55" s="26">
        <f>IFERROR(SUMIF(Servicios_Promotores!$B:$B,C55,Servicios_Promotores!$R:$R),0)</f>
        <v>0</v>
      </c>
      <c r="E55" s="26">
        <f>IFERROR(SUMIF(Pago_GERE!$B:$B,C55,Pago_GERE!$R:$R),0)</f>
        <v>0</v>
      </c>
      <c r="F55" s="26">
        <f>IFERROR(SUMIF(Hoja2!$H:$H,C55,Hoja2!$U:$U),0)</f>
        <v>0</v>
      </c>
      <c r="G55" s="17">
        <f>IFERROR(VLOOKUP(C55,Hoja3!$C:$D,2,FALSE),"")</f>
        <v>0</v>
      </c>
      <c r="H55" s="22">
        <v>46038</v>
      </c>
      <c r="I55" s="17" t="s">
        <v>163</v>
      </c>
      <c r="J55" s="17" t="s">
        <v>151</v>
      </c>
      <c r="K55" s="17" t="s">
        <v>36</v>
      </c>
      <c r="L55" s="17">
        <v>10000064</v>
      </c>
      <c r="M55" s="17" t="s">
        <v>227</v>
      </c>
      <c r="N55" s="17">
        <v>21683147</v>
      </c>
      <c r="O55" s="17" t="s">
        <v>956</v>
      </c>
      <c r="P55" s="17" t="s">
        <v>403</v>
      </c>
      <c r="Q55" s="17" t="s">
        <v>253</v>
      </c>
      <c r="R55" s="17" t="s">
        <v>956</v>
      </c>
      <c r="S55" s="17" t="s">
        <v>147</v>
      </c>
      <c r="T55" s="17" t="s">
        <v>173</v>
      </c>
      <c r="U55" s="17" t="s">
        <v>251</v>
      </c>
      <c r="V55" s="17" t="s">
        <v>955</v>
      </c>
      <c r="W55" s="17" t="s">
        <v>954</v>
      </c>
    </row>
    <row r="56" spans="1:23" x14ac:dyDescent="0.45">
      <c r="A56" s="17" t="s">
        <v>254</v>
      </c>
      <c r="B56" s="22">
        <v>46035</v>
      </c>
      <c r="C56" s="17">
        <v>151293816</v>
      </c>
      <c r="D56" s="26">
        <f>IFERROR(SUMIF(Servicios_Promotores!$B:$B,C56,Servicios_Promotores!$R:$R),0)</f>
        <v>0</v>
      </c>
      <c r="E56" s="26">
        <f>IFERROR(SUMIF(Pago_GERE!$B:$B,C56,Pago_GERE!$R:$R),0)</f>
        <v>0</v>
      </c>
      <c r="F56" s="26">
        <f>IFERROR(SUMIF(Hoja2!$H:$H,C56,Hoja2!$U:$U),0)</f>
        <v>0</v>
      </c>
      <c r="G56" s="17">
        <f>IFERROR(VLOOKUP(C56,Hoja3!$C:$D,2,FALSE),"")</f>
        <v>0</v>
      </c>
      <c r="H56" s="22">
        <v>46038</v>
      </c>
      <c r="I56" s="17" t="s">
        <v>152</v>
      </c>
      <c r="J56" s="17" t="s">
        <v>165</v>
      </c>
      <c r="K56" s="17" t="s">
        <v>42</v>
      </c>
      <c r="L56" s="17">
        <v>10000064</v>
      </c>
      <c r="M56" s="17" t="s">
        <v>227</v>
      </c>
      <c r="N56" s="17">
        <v>21725676</v>
      </c>
      <c r="O56" s="17" t="s">
        <v>947</v>
      </c>
      <c r="P56" s="17" t="s">
        <v>192</v>
      </c>
      <c r="Q56" s="17" t="s">
        <v>253</v>
      </c>
      <c r="R56" s="17" t="s">
        <v>947</v>
      </c>
      <c r="S56" s="17" t="s">
        <v>147</v>
      </c>
      <c r="T56" s="17" t="s">
        <v>146</v>
      </c>
      <c r="U56" s="17" t="s">
        <v>251</v>
      </c>
      <c r="V56" s="17" t="s">
        <v>561</v>
      </c>
      <c r="W56" s="17" t="s">
        <v>558</v>
      </c>
    </row>
    <row r="57" spans="1:23" x14ac:dyDescent="0.45">
      <c r="A57" s="17" t="s">
        <v>254</v>
      </c>
      <c r="B57" s="22">
        <v>46035</v>
      </c>
      <c r="C57" s="17">
        <v>151293857</v>
      </c>
      <c r="D57" s="26">
        <f>IFERROR(SUMIF(Servicios_Promotores!$B:$B,C57,Servicios_Promotores!$R:$R),0)</f>
        <v>0</v>
      </c>
      <c r="E57" s="26">
        <f>IFERROR(SUMIF(Pago_GERE!$B:$B,C57,Pago_GERE!$R:$R),0)</f>
        <v>0</v>
      </c>
      <c r="F57" s="26">
        <f>IFERROR(SUMIF(Hoja2!$H:$H,C57,Hoja2!$U:$U),0)</f>
        <v>0</v>
      </c>
      <c r="G57" s="17">
        <f>IFERROR(VLOOKUP(C57,Hoja3!$C:$D,2,FALSE),"")</f>
        <v>0</v>
      </c>
      <c r="H57" s="22">
        <v>46039</v>
      </c>
      <c r="I57" s="17" t="s">
        <v>163</v>
      </c>
      <c r="J57" s="17" t="s">
        <v>151</v>
      </c>
      <c r="K57" s="17" t="s">
        <v>39</v>
      </c>
      <c r="L57" s="17">
        <v>10000064</v>
      </c>
      <c r="M57" s="17" t="s">
        <v>227</v>
      </c>
      <c r="N57" s="17">
        <v>21663136</v>
      </c>
      <c r="O57" s="17" t="s">
        <v>940</v>
      </c>
      <c r="P57" s="17" t="s">
        <v>289</v>
      </c>
      <c r="Q57" s="17" t="s">
        <v>253</v>
      </c>
      <c r="R57" s="17" t="s">
        <v>940</v>
      </c>
      <c r="S57" s="17" t="s">
        <v>147</v>
      </c>
      <c r="T57" s="17" t="s">
        <v>184</v>
      </c>
      <c r="U57" s="17" t="s">
        <v>251</v>
      </c>
      <c r="V57" s="17" t="s">
        <v>939</v>
      </c>
      <c r="W57" s="17" t="s">
        <v>938</v>
      </c>
    </row>
    <row r="58" spans="1:23" x14ac:dyDescent="0.45">
      <c r="A58" s="17" t="s">
        <v>254</v>
      </c>
      <c r="B58" s="22">
        <v>46029</v>
      </c>
      <c r="C58" s="17">
        <v>151281521</v>
      </c>
      <c r="D58" s="26">
        <f>IFERROR(SUMIF(Servicios_Promotores!$B:$B,C58,Servicios_Promotores!$R:$R),0)</f>
        <v>0</v>
      </c>
      <c r="E58" s="26">
        <f>IFERROR(SUMIF(Pago_GERE!$B:$B,C58,Pago_GERE!$R:$R),0)</f>
        <v>0</v>
      </c>
      <c r="F58" s="26">
        <f>IFERROR(SUMIF(Hoja2!$H:$H,C58,Hoja2!$U:$U),0)</f>
        <v>1160</v>
      </c>
      <c r="G58" s="17">
        <f>IFERROR(VLOOKUP(C58,Hoja3!$C:$D,2,FALSE),"")</f>
        <v>0</v>
      </c>
      <c r="H58" s="22">
        <v>46034</v>
      </c>
      <c r="I58" s="17" t="s">
        <v>152</v>
      </c>
      <c r="J58" s="17" t="s">
        <v>165</v>
      </c>
      <c r="K58" s="17" t="s">
        <v>42</v>
      </c>
      <c r="L58" s="17">
        <v>10000064</v>
      </c>
      <c r="M58" s="17" t="s">
        <v>227</v>
      </c>
      <c r="N58" s="17">
        <v>21594824</v>
      </c>
      <c r="O58" s="17" t="s">
        <v>899</v>
      </c>
      <c r="P58" s="17" t="s">
        <v>224</v>
      </c>
      <c r="Q58" s="17" t="s">
        <v>253</v>
      </c>
      <c r="R58" s="17" t="s">
        <v>899</v>
      </c>
      <c r="S58" s="17" t="s">
        <v>147</v>
      </c>
      <c r="T58" s="17" t="s">
        <v>223</v>
      </c>
      <c r="U58" s="17" t="s">
        <v>251</v>
      </c>
      <c r="V58" s="17" t="s">
        <v>410</v>
      </c>
      <c r="W58" s="17" t="s">
        <v>409</v>
      </c>
    </row>
    <row r="59" spans="1:23" x14ac:dyDescent="0.45">
      <c r="A59" s="17" t="s">
        <v>254</v>
      </c>
      <c r="B59" s="22">
        <v>46028</v>
      </c>
      <c r="C59" s="17">
        <v>151279447</v>
      </c>
      <c r="D59" s="26">
        <f>IFERROR(SUMIF(Servicios_Promotores!$B:$B,C59,Servicios_Promotores!$R:$R),0)</f>
        <v>0</v>
      </c>
      <c r="E59" s="26">
        <f>IFERROR(SUMIF(Pago_GERE!$B:$B,C59,Pago_GERE!$R:$R),0)</f>
        <v>0</v>
      </c>
      <c r="F59" s="26">
        <f>IFERROR(SUMIF(Hoja2!$H:$H,C59,Hoja2!$U:$U),0)</f>
        <v>1149</v>
      </c>
      <c r="G59" s="17">
        <f>IFERROR(VLOOKUP(C59,Hoja3!$C:$D,2,FALSE),"")</f>
        <v>0</v>
      </c>
      <c r="H59" s="22">
        <v>46032</v>
      </c>
      <c r="I59" s="17" t="s">
        <v>163</v>
      </c>
      <c r="J59" s="17" t="s">
        <v>151</v>
      </c>
      <c r="K59" s="17" t="s">
        <v>42</v>
      </c>
      <c r="L59" s="17">
        <v>10000064</v>
      </c>
      <c r="M59" s="17" t="s">
        <v>227</v>
      </c>
      <c r="N59" s="17">
        <v>21459682</v>
      </c>
      <c r="O59" s="17" t="s">
        <v>896</v>
      </c>
      <c r="P59" s="17" t="s">
        <v>148</v>
      </c>
      <c r="Q59" s="17" t="s">
        <v>253</v>
      </c>
      <c r="R59" s="17" t="s">
        <v>896</v>
      </c>
      <c r="S59" s="17" t="s">
        <v>147</v>
      </c>
      <c r="T59" s="17" t="s">
        <v>146</v>
      </c>
      <c r="U59" s="17" t="s">
        <v>251</v>
      </c>
      <c r="V59" s="17" t="s">
        <v>895</v>
      </c>
      <c r="W59" s="17" t="s">
        <v>891</v>
      </c>
    </row>
    <row r="60" spans="1:23" x14ac:dyDescent="0.45">
      <c r="A60" s="17" t="s">
        <v>254</v>
      </c>
      <c r="B60" s="22">
        <v>46028</v>
      </c>
      <c r="C60" s="17">
        <v>151279414</v>
      </c>
      <c r="D60" s="26">
        <f>IFERROR(SUMIF(Servicios_Promotores!$B:$B,C60,Servicios_Promotores!$R:$R),0)</f>
        <v>0</v>
      </c>
      <c r="E60" s="26">
        <f>IFERROR(SUMIF(Pago_GERE!$B:$B,C60,Pago_GERE!$R:$R),0)</f>
        <v>0</v>
      </c>
      <c r="F60" s="26">
        <f>IFERROR(SUMIF(Hoja2!$H:$H,C60,Hoja2!$U:$U),0)</f>
        <v>0</v>
      </c>
      <c r="G60" s="17">
        <f>IFERROR(VLOOKUP(C60,Hoja3!$C:$D,2,FALSE),"")</f>
        <v>0</v>
      </c>
      <c r="H60" s="22">
        <v>46030</v>
      </c>
      <c r="I60" s="17" t="s">
        <v>152</v>
      </c>
      <c r="J60" s="17" t="s">
        <v>165</v>
      </c>
      <c r="K60" s="17" t="s">
        <v>42</v>
      </c>
      <c r="L60" s="17">
        <v>10000064</v>
      </c>
      <c r="M60" s="17" t="s">
        <v>227</v>
      </c>
      <c r="N60" s="17">
        <v>21459246</v>
      </c>
      <c r="O60" s="17" t="s">
        <v>894</v>
      </c>
      <c r="P60" s="17" t="s">
        <v>148</v>
      </c>
      <c r="Q60" s="17" t="s">
        <v>253</v>
      </c>
      <c r="R60" s="17" t="s">
        <v>894</v>
      </c>
      <c r="S60" s="17" t="s">
        <v>147</v>
      </c>
      <c r="T60" s="17" t="s">
        <v>146</v>
      </c>
      <c r="U60" s="17" t="s">
        <v>251</v>
      </c>
      <c r="V60" s="17" t="s">
        <v>892</v>
      </c>
      <c r="W60" s="17" t="s">
        <v>891</v>
      </c>
    </row>
    <row r="61" spans="1:23" x14ac:dyDescent="0.45">
      <c r="A61" s="17" t="s">
        <v>254</v>
      </c>
      <c r="B61" s="22">
        <v>46024</v>
      </c>
      <c r="C61" s="17">
        <v>151272743</v>
      </c>
      <c r="D61" s="26">
        <f>IFERROR(SUMIF(Servicios_Promotores!$B:$B,C61,Servicios_Promotores!$R:$R),0)</f>
        <v>0</v>
      </c>
      <c r="E61" s="26">
        <f>IFERROR(SUMIF(Pago_GERE!$B:$B,C61,Pago_GERE!$R:$R),0)</f>
        <v>0</v>
      </c>
      <c r="F61" s="26">
        <f>IFERROR(SUMIF(Hoja2!$H:$H,C61,Hoja2!$U:$U),0)</f>
        <v>389</v>
      </c>
      <c r="G61" s="17">
        <f>IFERROR(VLOOKUP(C61,Hoja3!$C:$D,2,FALSE),"")</f>
        <v>0</v>
      </c>
      <c r="H61" s="22">
        <v>46032</v>
      </c>
      <c r="I61" s="17" t="s">
        <v>152</v>
      </c>
      <c r="J61" s="17" t="s">
        <v>165</v>
      </c>
      <c r="K61" s="17" t="s">
        <v>39</v>
      </c>
      <c r="L61" s="17">
        <v>10000064</v>
      </c>
      <c r="M61" s="17" t="s">
        <v>227</v>
      </c>
      <c r="N61" s="17">
        <v>21557013</v>
      </c>
      <c r="O61" s="17" t="s">
        <v>871</v>
      </c>
      <c r="P61" s="17" t="s">
        <v>170</v>
      </c>
      <c r="Q61" s="17" t="s">
        <v>253</v>
      </c>
      <c r="R61" s="17" t="s">
        <v>871</v>
      </c>
      <c r="S61" s="17" t="s">
        <v>147</v>
      </c>
      <c r="T61" s="17" t="s">
        <v>169</v>
      </c>
      <c r="U61" s="17" t="s">
        <v>251</v>
      </c>
      <c r="V61" s="17" t="s">
        <v>870</v>
      </c>
      <c r="W61" s="17" t="s">
        <v>869</v>
      </c>
    </row>
    <row r="62" spans="1:23" x14ac:dyDescent="0.45">
      <c r="A62" s="17"/>
      <c r="B62" s="22">
        <v>46024</v>
      </c>
      <c r="C62" s="17">
        <v>151273186</v>
      </c>
      <c r="D62" s="26">
        <f>IFERROR(SUMIF(Servicios_Promotores!$B:$B,C62,Servicios_Promotores!$R:$R),0)</f>
        <v>0</v>
      </c>
      <c r="E62" s="26">
        <f>IFERROR(SUMIF(Pago_GERE!$B:$B,C62,Pago_GERE!$R:$R),0)</f>
        <v>0</v>
      </c>
      <c r="F62" s="26">
        <f>IFERROR(SUMIF(Hoja2!$H:$H,C62,Hoja2!$U:$U),0)</f>
        <v>0</v>
      </c>
      <c r="G62" s="17">
        <f>IFERROR(VLOOKUP(C62,Hoja3!$C:$D,2,FALSE),"")</f>
        <v>0</v>
      </c>
      <c r="H62" s="17"/>
      <c r="I62" s="17" t="s">
        <v>163</v>
      </c>
      <c r="J62" s="17" t="s">
        <v>151</v>
      </c>
      <c r="K62" s="17" t="s">
        <v>31</v>
      </c>
      <c r="L62" s="17">
        <v>10000064</v>
      </c>
      <c r="M62" s="17" t="s">
        <v>227</v>
      </c>
      <c r="N62" s="17">
        <v>151273186</v>
      </c>
      <c r="O62" s="17"/>
      <c r="P62" s="17" t="s">
        <v>179</v>
      </c>
      <c r="Q62" s="17"/>
      <c r="R62" s="17"/>
      <c r="S62" s="17" t="s">
        <v>147</v>
      </c>
      <c r="T62" s="17" t="s">
        <v>178</v>
      </c>
      <c r="U62" s="17" t="s">
        <v>182</v>
      </c>
      <c r="V62" s="17" t="s">
        <v>210</v>
      </c>
      <c r="W62" s="17"/>
    </row>
    <row r="63" spans="1:23" x14ac:dyDescent="0.45">
      <c r="A63" s="17" t="s">
        <v>1065</v>
      </c>
      <c r="B63" s="22">
        <v>46045</v>
      </c>
      <c r="C63" s="17">
        <v>151313331</v>
      </c>
      <c r="D63" s="26">
        <f>IFERROR(SUMIF(Servicios_Promotores!$B:$B,C63,Servicios_Promotores!$R:$R),0)</f>
        <v>0</v>
      </c>
      <c r="E63" s="26">
        <f>IFERROR(SUMIF(Pago_GERE!$B:$B,C63,Pago_GERE!$R:$R),0)</f>
        <v>0</v>
      </c>
      <c r="F63" s="26">
        <f>IFERROR(SUMIF(Hoja2!$H:$H,C63,Hoja2!$U:$U),0)</f>
        <v>0</v>
      </c>
      <c r="G63" s="17">
        <f>IFERROR(VLOOKUP(C63,Hoja3!$C:$D,2,FALSE),"")</f>
        <v>0</v>
      </c>
      <c r="H63" s="17"/>
      <c r="I63" s="17" t="s">
        <v>152</v>
      </c>
      <c r="J63" s="17" t="s">
        <v>165</v>
      </c>
      <c r="K63" s="17" t="s">
        <v>42</v>
      </c>
      <c r="L63" s="17">
        <v>10000064</v>
      </c>
      <c r="M63" s="17" t="s">
        <v>181</v>
      </c>
      <c r="N63" s="17">
        <v>21927721</v>
      </c>
      <c r="O63" s="17" t="s">
        <v>1066</v>
      </c>
      <c r="P63" s="17" t="s">
        <v>148</v>
      </c>
      <c r="Q63" s="17" t="s">
        <v>1064</v>
      </c>
      <c r="R63" s="17" t="s">
        <v>1066</v>
      </c>
      <c r="S63" s="17" t="s">
        <v>147</v>
      </c>
      <c r="T63" s="17" t="s">
        <v>146</v>
      </c>
      <c r="U63" s="17" t="s">
        <v>251</v>
      </c>
      <c r="V63" s="17" t="s">
        <v>210</v>
      </c>
      <c r="W63" s="17"/>
    </row>
    <row r="64" spans="1:23" x14ac:dyDescent="0.45">
      <c r="A64" s="17" t="s">
        <v>1065</v>
      </c>
      <c r="B64" s="22">
        <v>46112</v>
      </c>
      <c r="C64" s="17">
        <v>151434956</v>
      </c>
      <c r="D64" s="26">
        <f>IFERROR(SUMIF(Servicios_Promotores!$B:$B,C64,Servicios_Promotores!$R:$R),0)</f>
        <v>0</v>
      </c>
      <c r="E64" s="26">
        <f>IFERROR(SUMIF(Pago_GERE!$B:$B,C64,Pago_GERE!$R:$R),0)</f>
        <v>0</v>
      </c>
      <c r="F64" s="26">
        <f>IFERROR(SUMIF(Hoja2!$H:$H,C64,Hoja2!$U:$U),0)</f>
        <v>0</v>
      </c>
      <c r="G64" s="17">
        <f>IFERROR(VLOOKUP(C64,Hoja3!$C:$D,2,FALSE),"")</f>
        <v>0</v>
      </c>
      <c r="H64" s="17"/>
      <c r="I64" s="17" t="s">
        <v>152</v>
      </c>
      <c r="J64" s="17" t="s">
        <v>165</v>
      </c>
      <c r="K64" s="17" t="s">
        <v>42</v>
      </c>
      <c r="L64" s="17">
        <v>10000064</v>
      </c>
      <c r="M64" s="17" t="s">
        <v>181</v>
      </c>
      <c r="N64" s="17">
        <v>23962144</v>
      </c>
      <c r="O64" s="17" t="s">
        <v>1108</v>
      </c>
      <c r="P64" s="17" t="s">
        <v>148</v>
      </c>
      <c r="Q64" s="17" t="s">
        <v>1064</v>
      </c>
      <c r="R64" s="17" t="s">
        <v>1108</v>
      </c>
      <c r="S64" s="17" t="s">
        <v>147</v>
      </c>
      <c r="T64" s="17" t="s">
        <v>146</v>
      </c>
      <c r="U64" s="17" t="s">
        <v>251</v>
      </c>
      <c r="V64" s="17"/>
      <c r="W64" s="17"/>
    </row>
    <row r="65" spans="1:23" x14ac:dyDescent="0.45">
      <c r="A65" s="17" t="s">
        <v>1065</v>
      </c>
      <c r="B65" s="22">
        <v>46084</v>
      </c>
      <c r="C65" s="17">
        <v>151384399</v>
      </c>
      <c r="D65" s="26">
        <f>IFERROR(SUMIF(Servicios_Promotores!$B:$B,C65,Servicios_Promotores!$R:$R),0)</f>
        <v>0</v>
      </c>
      <c r="E65" s="26">
        <f>IFERROR(SUMIF(Pago_GERE!$B:$B,C65,Pago_GERE!$R:$R),0)</f>
        <v>0</v>
      </c>
      <c r="F65" s="26">
        <f>IFERROR(SUMIF(Hoja2!$H:$H,C65,Hoja2!$U:$U),0)</f>
        <v>0</v>
      </c>
      <c r="G65" s="17">
        <f>IFERROR(VLOOKUP(C65,Hoja3!$C:$D,2,FALSE),"")</f>
        <v>0</v>
      </c>
      <c r="H65" s="17"/>
      <c r="I65" s="17" t="s">
        <v>152</v>
      </c>
      <c r="J65" s="17" t="s">
        <v>151</v>
      </c>
      <c r="K65" s="17" t="s">
        <v>42</v>
      </c>
      <c r="L65" s="17">
        <v>10000064</v>
      </c>
      <c r="M65" s="17" t="s">
        <v>181</v>
      </c>
      <c r="N65" s="17">
        <v>22762426</v>
      </c>
      <c r="O65" s="17" t="s">
        <v>1066</v>
      </c>
      <c r="P65" s="17" t="s">
        <v>148</v>
      </c>
      <c r="Q65" s="17" t="s">
        <v>1064</v>
      </c>
      <c r="R65" s="17" t="s">
        <v>1066</v>
      </c>
      <c r="S65" s="17" t="s">
        <v>147</v>
      </c>
      <c r="T65" s="17" t="s">
        <v>146</v>
      </c>
      <c r="U65" s="17" t="s">
        <v>251</v>
      </c>
      <c r="V65" s="17"/>
      <c r="W65" s="17"/>
    </row>
    <row r="66" spans="1:23" x14ac:dyDescent="0.45">
      <c r="A66" s="17" t="s">
        <v>1065</v>
      </c>
      <c r="B66" s="22">
        <v>46136</v>
      </c>
      <c r="C66" s="17">
        <v>151476101</v>
      </c>
      <c r="D66" s="26">
        <f>IFERROR(SUMIF(Servicios_Promotores!$B:$B,C66,Servicios_Promotores!$R:$R),0)</f>
        <v>0</v>
      </c>
      <c r="E66" s="26">
        <f>IFERROR(SUMIF(Pago_GERE!$B:$B,C66,Pago_GERE!$R:$R),0)</f>
        <v>0</v>
      </c>
      <c r="F66" s="26">
        <f>IFERROR(SUMIF(Hoja2!$H:$H,C66,Hoja2!$U:$U),0)</f>
        <v>0</v>
      </c>
      <c r="G66" s="17">
        <f>IFERROR(VLOOKUP(C66,Hoja3!$C:$D,2,FALSE),"")</f>
        <v>0</v>
      </c>
      <c r="H66" s="17"/>
      <c r="I66" s="17" t="s">
        <v>158</v>
      </c>
      <c r="J66" s="17" t="s">
        <v>151</v>
      </c>
      <c r="K66" s="17" t="s">
        <v>39</v>
      </c>
      <c r="L66" s="17">
        <v>10000064</v>
      </c>
      <c r="M66" s="17" t="s">
        <v>181</v>
      </c>
      <c r="N66" s="17">
        <v>24599107</v>
      </c>
      <c r="O66" s="17" t="s">
        <v>1066</v>
      </c>
      <c r="P66" s="17" t="s">
        <v>170</v>
      </c>
      <c r="Q66" s="17" t="s">
        <v>1064</v>
      </c>
      <c r="R66" s="17" t="s">
        <v>1066</v>
      </c>
      <c r="S66" s="17" t="s">
        <v>155</v>
      </c>
      <c r="T66" s="17" t="s">
        <v>169</v>
      </c>
      <c r="U66" s="17" t="s">
        <v>251</v>
      </c>
      <c r="V66" s="17"/>
      <c r="W66" s="17"/>
    </row>
    <row r="67" spans="1:23" x14ac:dyDescent="0.45">
      <c r="A67" s="17" t="s">
        <v>1065</v>
      </c>
      <c r="B67" s="22">
        <v>46134</v>
      </c>
      <c r="C67" s="17">
        <v>151472705</v>
      </c>
      <c r="D67" s="26">
        <f>IFERROR(SUMIF(Servicios_Promotores!$B:$B,C67,Servicios_Promotores!$R:$R),0)</f>
        <v>0</v>
      </c>
      <c r="E67" s="26">
        <f>IFERROR(SUMIF(Pago_GERE!$B:$B,C67,Pago_GERE!$R:$R),0)</f>
        <v>0</v>
      </c>
      <c r="F67" s="26">
        <f>IFERROR(SUMIF(Hoja2!$H:$H,C67,Hoja2!$U:$U),0)</f>
        <v>0</v>
      </c>
      <c r="G67" s="17">
        <f>IFERROR(VLOOKUP(C67,Hoja3!$C:$D,2,FALSE),"")</f>
        <v>0</v>
      </c>
      <c r="H67" s="17"/>
      <c r="I67" s="17" t="s">
        <v>152</v>
      </c>
      <c r="J67" s="17" t="s">
        <v>165</v>
      </c>
      <c r="K67" s="17" t="s">
        <v>42</v>
      </c>
      <c r="L67" s="17">
        <v>10000064</v>
      </c>
      <c r="M67" s="17" t="s">
        <v>181</v>
      </c>
      <c r="N67" s="17">
        <v>24525113</v>
      </c>
      <c r="O67" s="17" t="s">
        <v>1096</v>
      </c>
      <c r="P67" s="17" t="s">
        <v>148</v>
      </c>
      <c r="Q67" s="17" t="s">
        <v>1097</v>
      </c>
      <c r="R67" s="17" t="s">
        <v>1096</v>
      </c>
      <c r="S67" s="17" t="s">
        <v>147</v>
      </c>
      <c r="T67" s="17" t="s">
        <v>146</v>
      </c>
      <c r="U67" s="17" t="s">
        <v>251</v>
      </c>
      <c r="V67" s="17"/>
      <c r="W67" s="17"/>
    </row>
    <row r="68" spans="1:23" x14ac:dyDescent="0.45">
      <c r="A68" s="17" t="s">
        <v>1065</v>
      </c>
      <c r="B68" s="22">
        <v>46132</v>
      </c>
      <c r="C68" s="17">
        <v>151467910</v>
      </c>
      <c r="D68" s="26">
        <f>IFERROR(SUMIF(Servicios_Promotores!$B:$B,C68,Servicios_Promotores!$R:$R),0)</f>
        <v>0</v>
      </c>
      <c r="E68" s="26">
        <f>IFERROR(SUMIF(Pago_GERE!$B:$B,C68,Pago_GERE!$R:$R),0)</f>
        <v>0</v>
      </c>
      <c r="F68" s="26">
        <f>IFERROR(SUMIF(Hoja2!$H:$H,C68,Hoja2!$U:$U),0)</f>
        <v>0</v>
      </c>
      <c r="G68" s="17">
        <f>IFERROR(VLOOKUP(C68,Hoja3!$C:$D,2,FALSE),"")</f>
        <v>0</v>
      </c>
      <c r="H68" s="17"/>
      <c r="I68" s="17" t="s">
        <v>209</v>
      </c>
      <c r="J68" s="17" t="s">
        <v>165</v>
      </c>
      <c r="K68" s="17" t="s">
        <v>36</v>
      </c>
      <c r="L68" s="17">
        <v>10000064</v>
      </c>
      <c r="M68" s="17" t="s">
        <v>181</v>
      </c>
      <c r="N68" s="17">
        <v>24469828</v>
      </c>
      <c r="O68" s="17" t="s">
        <v>1094</v>
      </c>
      <c r="P68" s="17" t="s">
        <v>482</v>
      </c>
      <c r="Q68" s="17" t="s">
        <v>1064</v>
      </c>
      <c r="R68" s="17" t="s">
        <v>1094</v>
      </c>
      <c r="S68" s="17" t="s">
        <v>147</v>
      </c>
      <c r="T68" s="17" t="s">
        <v>480</v>
      </c>
      <c r="U68" s="17" t="s">
        <v>251</v>
      </c>
      <c r="V68" s="17"/>
      <c r="W68" s="17"/>
    </row>
    <row r="69" spans="1:23" x14ac:dyDescent="0.45">
      <c r="A69" s="17" t="s">
        <v>1065</v>
      </c>
      <c r="B69" s="22">
        <v>46130</v>
      </c>
      <c r="C69" s="17">
        <v>151465943</v>
      </c>
      <c r="D69" s="26">
        <f>IFERROR(SUMIF(Servicios_Promotores!$B:$B,C69,Servicios_Promotores!$R:$R),0)</f>
        <v>0</v>
      </c>
      <c r="E69" s="26">
        <f>IFERROR(SUMIF(Pago_GERE!$B:$B,C69,Pago_GERE!$R:$R),0)</f>
        <v>0</v>
      </c>
      <c r="F69" s="26">
        <f>IFERROR(SUMIF(Hoja2!$H:$H,C69,Hoja2!$U:$U),0)</f>
        <v>0</v>
      </c>
      <c r="G69" s="17">
        <f>IFERROR(VLOOKUP(C69,Hoja3!$C:$D,2,FALSE),"")</f>
        <v>0</v>
      </c>
      <c r="H69" s="17"/>
      <c r="I69" s="17" t="s">
        <v>152</v>
      </c>
      <c r="J69" s="17" t="s">
        <v>165</v>
      </c>
      <c r="K69" s="17" t="s">
        <v>36</v>
      </c>
      <c r="L69" s="17">
        <v>10000064</v>
      </c>
      <c r="M69" s="17" t="s">
        <v>181</v>
      </c>
      <c r="N69" s="17">
        <v>24444170</v>
      </c>
      <c r="O69" s="17" t="s">
        <v>1093</v>
      </c>
      <c r="P69" s="17" t="s">
        <v>482</v>
      </c>
      <c r="Q69" s="17" t="s">
        <v>1064</v>
      </c>
      <c r="R69" s="17" t="s">
        <v>1093</v>
      </c>
      <c r="S69" s="17" t="s">
        <v>147</v>
      </c>
      <c r="T69" s="17" t="s">
        <v>480</v>
      </c>
      <c r="U69" s="17" t="s">
        <v>251</v>
      </c>
      <c r="V69" s="17"/>
      <c r="W69" s="17"/>
    </row>
    <row r="70" spans="1:23" x14ac:dyDescent="0.45">
      <c r="A70" s="17" t="s">
        <v>1065</v>
      </c>
      <c r="B70" s="22">
        <v>46127</v>
      </c>
      <c r="C70" s="17">
        <v>151459433</v>
      </c>
      <c r="D70" s="26">
        <f>IFERROR(SUMIF(Servicios_Promotores!$B:$B,C70,Servicios_Promotores!$R:$R),0)</f>
        <v>0</v>
      </c>
      <c r="E70" s="26">
        <f>IFERROR(SUMIF(Pago_GERE!$B:$B,C70,Pago_GERE!$R:$R),0)</f>
        <v>0</v>
      </c>
      <c r="F70" s="26">
        <f>IFERROR(SUMIF(Hoja2!$H:$H,C70,Hoja2!$U:$U),0)</f>
        <v>0</v>
      </c>
      <c r="G70" s="17">
        <f>IFERROR(VLOOKUP(C70,Hoja3!$C:$D,2,FALSE),"")</f>
        <v>0</v>
      </c>
      <c r="H70" s="17"/>
      <c r="I70" s="17" t="s">
        <v>152</v>
      </c>
      <c r="J70" s="17" t="s">
        <v>165</v>
      </c>
      <c r="K70" s="17" t="s">
        <v>42</v>
      </c>
      <c r="L70" s="17">
        <v>10000064</v>
      </c>
      <c r="M70" s="17" t="s">
        <v>181</v>
      </c>
      <c r="N70" s="17">
        <v>24262018</v>
      </c>
      <c r="O70" s="17" t="s">
        <v>1092</v>
      </c>
      <c r="P70" s="17" t="s">
        <v>148</v>
      </c>
      <c r="Q70" s="17" t="s">
        <v>1064</v>
      </c>
      <c r="R70" s="17" t="s">
        <v>1092</v>
      </c>
      <c r="S70" s="17" t="s">
        <v>147</v>
      </c>
      <c r="T70" s="17" t="s">
        <v>146</v>
      </c>
      <c r="U70" s="17" t="s">
        <v>251</v>
      </c>
      <c r="V70" s="17"/>
      <c r="W70" s="17"/>
    </row>
    <row r="71" spans="1:23" x14ac:dyDescent="0.45">
      <c r="A71" s="17" t="s">
        <v>1065</v>
      </c>
      <c r="B71" s="22">
        <v>46116</v>
      </c>
      <c r="C71" s="17">
        <v>151440784</v>
      </c>
      <c r="D71" s="26">
        <f>IFERROR(SUMIF(Servicios_Promotores!$B:$B,C71,Servicios_Promotores!$R:$R),0)</f>
        <v>0</v>
      </c>
      <c r="E71" s="26">
        <f>IFERROR(SUMIF(Pago_GERE!$B:$B,C71,Pago_GERE!$R:$R),0)</f>
        <v>0</v>
      </c>
      <c r="F71" s="26">
        <f>IFERROR(SUMIF(Hoja2!$H:$H,C71,Hoja2!$U:$U),0)</f>
        <v>0</v>
      </c>
      <c r="G71" s="17">
        <f>IFERROR(VLOOKUP(C71,Hoja3!$C:$D,2,FALSE),"")</f>
        <v>0</v>
      </c>
      <c r="H71" s="17"/>
      <c r="I71" s="17" t="s">
        <v>152</v>
      </c>
      <c r="J71" s="17" t="s">
        <v>165</v>
      </c>
      <c r="K71" s="17" t="s">
        <v>42</v>
      </c>
      <c r="L71" s="17">
        <v>10000064</v>
      </c>
      <c r="M71" s="17" t="s">
        <v>181</v>
      </c>
      <c r="N71" s="17">
        <v>24031423</v>
      </c>
      <c r="O71" s="17" t="s">
        <v>1087</v>
      </c>
      <c r="P71" s="17" t="s">
        <v>192</v>
      </c>
      <c r="Q71" s="17" t="s">
        <v>1064</v>
      </c>
      <c r="R71" s="17" t="s">
        <v>1087</v>
      </c>
      <c r="S71" s="17" t="s">
        <v>147</v>
      </c>
      <c r="T71" s="17" t="s">
        <v>146</v>
      </c>
      <c r="U71" s="17" t="s">
        <v>251</v>
      </c>
      <c r="V71" s="17"/>
      <c r="W71" s="17"/>
    </row>
    <row r="72" spans="1:23" x14ac:dyDescent="0.45">
      <c r="A72" s="17" t="s">
        <v>254</v>
      </c>
      <c r="B72" s="22">
        <v>46045</v>
      </c>
      <c r="C72" s="17">
        <v>151313350</v>
      </c>
      <c r="D72" s="26">
        <f>IFERROR(SUMIF(Servicios_Promotores!$B:$B,C72,Servicios_Promotores!$R:$R),0)</f>
        <v>0</v>
      </c>
      <c r="E72" s="26">
        <f>IFERROR(SUMIF(Pago_GERE!$B:$B,C72,Pago_GERE!$R:$R),0)</f>
        <v>0</v>
      </c>
      <c r="F72" s="26">
        <f>IFERROR(SUMIF(Hoja2!$H:$H,C72,Hoja2!$U:$U),0)</f>
        <v>0</v>
      </c>
      <c r="G72" s="17">
        <f>IFERROR(VLOOKUP(C72,Hoja3!$C:$D,2,FALSE),"")</f>
        <v>0</v>
      </c>
      <c r="H72" s="22">
        <v>46048</v>
      </c>
      <c r="I72" s="17" t="s">
        <v>152</v>
      </c>
      <c r="J72" s="17" t="s">
        <v>151</v>
      </c>
      <c r="K72" s="17" t="s">
        <v>42</v>
      </c>
      <c r="L72" s="17">
        <v>10000064</v>
      </c>
      <c r="M72" s="17" t="s">
        <v>181</v>
      </c>
      <c r="N72" s="17">
        <v>21926459</v>
      </c>
      <c r="O72" s="17" t="s">
        <v>1024</v>
      </c>
      <c r="P72" s="17" t="s">
        <v>148</v>
      </c>
      <c r="Q72" s="17" t="s">
        <v>253</v>
      </c>
      <c r="R72" s="17" t="s">
        <v>1024</v>
      </c>
      <c r="S72" s="17" t="s">
        <v>147</v>
      </c>
      <c r="T72" s="17" t="s">
        <v>146</v>
      </c>
      <c r="U72" s="17" t="s">
        <v>251</v>
      </c>
      <c r="V72" s="17" t="s">
        <v>1023</v>
      </c>
      <c r="W72" s="17" t="s">
        <v>912</v>
      </c>
    </row>
    <row r="73" spans="1:23" x14ac:dyDescent="0.45">
      <c r="A73" s="17" t="s">
        <v>254</v>
      </c>
      <c r="B73" s="22">
        <v>46036</v>
      </c>
      <c r="C73" s="17">
        <v>151295966</v>
      </c>
      <c r="D73" s="26">
        <f>IFERROR(SUMIF(Servicios_Promotores!$B:$B,C73,Servicios_Promotores!$R:$R),0)</f>
        <v>0</v>
      </c>
      <c r="E73" s="26">
        <f>IFERROR(SUMIF(Pago_GERE!$B:$B,C73,Pago_GERE!$R:$R),0)</f>
        <v>0</v>
      </c>
      <c r="F73" s="26">
        <f>IFERROR(SUMIF(Hoja2!$H:$H,C73,Hoja2!$U:$U),0)</f>
        <v>1158</v>
      </c>
      <c r="G73" s="17">
        <f>IFERROR(VLOOKUP(C73,Hoja3!$C:$D,2,FALSE),"")</f>
        <v>0</v>
      </c>
      <c r="H73" s="22">
        <v>46043</v>
      </c>
      <c r="I73" s="17" t="s">
        <v>152</v>
      </c>
      <c r="J73" s="17" t="s">
        <v>151</v>
      </c>
      <c r="K73" s="17" t="s">
        <v>42</v>
      </c>
      <c r="L73" s="17">
        <v>10000064</v>
      </c>
      <c r="M73" s="17" t="s">
        <v>181</v>
      </c>
      <c r="N73" s="17">
        <v>21688143</v>
      </c>
      <c r="O73" s="17" t="s">
        <v>965</v>
      </c>
      <c r="P73" s="17" t="s">
        <v>148</v>
      </c>
      <c r="Q73" s="17" t="s">
        <v>253</v>
      </c>
      <c r="R73" s="17" t="s">
        <v>965</v>
      </c>
      <c r="S73" s="17" t="s">
        <v>147</v>
      </c>
      <c r="T73" s="17" t="s">
        <v>146</v>
      </c>
      <c r="U73" s="17" t="s">
        <v>251</v>
      </c>
      <c r="V73" s="17" t="s">
        <v>311</v>
      </c>
      <c r="W73" s="17" t="s">
        <v>310</v>
      </c>
    </row>
    <row r="74" spans="1:23" x14ac:dyDescent="0.45">
      <c r="A74" s="17" t="s">
        <v>254</v>
      </c>
      <c r="B74" s="22">
        <v>46036</v>
      </c>
      <c r="C74" s="17">
        <v>151295995</v>
      </c>
      <c r="D74" s="26">
        <f>IFERROR(SUMIF(Servicios_Promotores!$B:$B,C74,Servicios_Promotores!$R:$R),0)</f>
        <v>0</v>
      </c>
      <c r="E74" s="26">
        <f>IFERROR(SUMIF(Pago_GERE!$B:$B,C74,Pago_GERE!$R:$R),0)</f>
        <v>0</v>
      </c>
      <c r="F74" s="26">
        <f>IFERROR(SUMIF(Hoja2!$H:$H,C74,Hoja2!$U:$U),0)</f>
        <v>0</v>
      </c>
      <c r="G74" s="17">
        <f>IFERROR(VLOOKUP(C74,Hoja3!$C:$D,2,FALSE),"")</f>
        <v>0</v>
      </c>
      <c r="H74" s="22">
        <v>46058</v>
      </c>
      <c r="I74" s="17" t="s">
        <v>194</v>
      </c>
      <c r="J74" s="17" t="s">
        <v>151</v>
      </c>
      <c r="K74" s="17" t="s">
        <v>42</v>
      </c>
      <c r="L74" s="17">
        <v>10000064</v>
      </c>
      <c r="M74" s="17" t="s">
        <v>181</v>
      </c>
      <c r="N74" s="17">
        <v>21691966</v>
      </c>
      <c r="O74" s="17" t="s">
        <v>964</v>
      </c>
      <c r="P74" s="17" t="s">
        <v>148</v>
      </c>
      <c r="Q74" s="17" t="s">
        <v>253</v>
      </c>
      <c r="R74" s="17" t="s">
        <v>964</v>
      </c>
      <c r="S74" s="17" t="s">
        <v>147</v>
      </c>
      <c r="T74" s="17" t="s">
        <v>146</v>
      </c>
      <c r="U74" s="17" t="s">
        <v>251</v>
      </c>
      <c r="V74" s="17" t="s">
        <v>311</v>
      </c>
      <c r="W74" s="17" t="s">
        <v>310</v>
      </c>
    </row>
    <row r="75" spans="1:23" x14ac:dyDescent="0.45">
      <c r="A75" s="17" t="s">
        <v>254</v>
      </c>
      <c r="B75" s="22">
        <v>46036</v>
      </c>
      <c r="C75" s="17">
        <v>151295883</v>
      </c>
      <c r="D75" s="26">
        <f>IFERROR(SUMIF(Servicios_Promotores!$B:$B,C75,Servicios_Promotores!$R:$R),0)</f>
        <v>0</v>
      </c>
      <c r="E75" s="26">
        <f>IFERROR(SUMIF(Pago_GERE!$B:$B,C75,Pago_GERE!$R:$R),0)</f>
        <v>0</v>
      </c>
      <c r="F75" s="26">
        <f>IFERROR(SUMIF(Hoja2!$H:$H,C75,Hoja2!$U:$U),0)</f>
        <v>0</v>
      </c>
      <c r="G75" s="17">
        <f>IFERROR(VLOOKUP(C75,Hoja3!$C:$D,2,FALSE),"")</f>
        <v>0</v>
      </c>
      <c r="H75" s="22">
        <v>46038</v>
      </c>
      <c r="I75" s="17" t="s">
        <v>220</v>
      </c>
      <c r="J75" s="17" t="s">
        <v>151</v>
      </c>
      <c r="K75" s="17" t="s">
        <v>55</v>
      </c>
      <c r="L75" s="17">
        <v>10000064</v>
      </c>
      <c r="M75" s="17" t="s">
        <v>181</v>
      </c>
      <c r="N75" s="17">
        <v>21685021</v>
      </c>
      <c r="O75" s="17" t="s">
        <v>958</v>
      </c>
      <c r="P75" s="17" t="s">
        <v>221</v>
      </c>
      <c r="Q75" s="17" t="s">
        <v>253</v>
      </c>
      <c r="R75" s="17" t="s">
        <v>958</v>
      </c>
      <c r="S75" s="17" t="s">
        <v>155</v>
      </c>
      <c r="T75" s="17" t="s">
        <v>55</v>
      </c>
      <c r="U75" s="17" t="s">
        <v>251</v>
      </c>
      <c r="V75" s="17" t="s">
        <v>957</v>
      </c>
      <c r="W75" s="17" t="s">
        <v>249</v>
      </c>
    </row>
    <row r="76" spans="1:23" x14ac:dyDescent="0.45">
      <c r="A76" s="17" t="s">
        <v>254</v>
      </c>
      <c r="B76" s="22">
        <v>46036</v>
      </c>
      <c r="C76" s="17">
        <v>151295935</v>
      </c>
      <c r="D76" s="26">
        <f>IFERROR(SUMIF(Servicios_Promotores!$B:$B,C76,Servicios_Promotores!$R:$R),0)</f>
        <v>0</v>
      </c>
      <c r="E76" s="26">
        <f>IFERROR(SUMIF(Pago_GERE!$B:$B,C76,Pago_GERE!$R:$R),0)</f>
        <v>0</v>
      </c>
      <c r="F76" s="26">
        <f>IFERROR(SUMIF(Hoja2!$H:$H,C76,Hoja2!$U:$U),0)</f>
        <v>0</v>
      </c>
      <c r="G76" s="17">
        <f>IFERROR(VLOOKUP(C76,Hoja3!$C:$D,2,FALSE),"")</f>
        <v>0</v>
      </c>
      <c r="H76" s="22">
        <v>46039</v>
      </c>
      <c r="I76" s="17" t="s">
        <v>209</v>
      </c>
      <c r="J76" s="17" t="s">
        <v>151</v>
      </c>
      <c r="K76" s="17" t="s">
        <v>42</v>
      </c>
      <c r="L76" s="17">
        <v>10000064</v>
      </c>
      <c r="M76" s="17" t="s">
        <v>181</v>
      </c>
      <c r="N76" s="17">
        <v>21691736</v>
      </c>
      <c r="O76" s="17" t="s">
        <v>949</v>
      </c>
      <c r="P76" s="17" t="s">
        <v>148</v>
      </c>
      <c r="Q76" s="17" t="s">
        <v>253</v>
      </c>
      <c r="R76" s="17" t="s">
        <v>949</v>
      </c>
      <c r="S76" s="17" t="s">
        <v>147</v>
      </c>
      <c r="T76" s="17" t="s">
        <v>146</v>
      </c>
      <c r="U76" s="17" t="s">
        <v>251</v>
      </c>
      <c r="V76" s="17" t="s">
        <v>948</v>
      </c>
      <c r="W76" s="17" t="s">
        <v>310</v>
      </c>
    </row>
    <row r="77" spans="1:23" x14ac:dyDescent="0.45">
      <c r="A77" s="17" t="s">
        <v>254</v>
      </c>
      <c r="B77" s="22">
        <v>46035</v>
      </c>
      <c r="C77" s="17">
        <v>151292731</v>
      </c>
      <c r="D77" s="26">
        <f>IFERROR(SUMIF(Servicios_Promotores!$B:$B,C77,Servicios_Promotores!$R:$R),0)</f>
        <v>0</v>
      </c>
      <c r="E77" s="26">
        <f>IFERROR(SUMIF(Pago_GERE!$B:$B,C77,Pago_GERE!$R:$R),0)</f>
        <v>0</v>
      </c>
      <c r="F77" s="26">
        <f>IFERROR(SUMIF(Hoja2!$H:$H,C77,Hoja2!$U:$U),0)</f>
        <v>1881</v>
      </c>
      <c r="G77" s="17">
        <f>IFERROR(VLOOKUP(C77,Hoja3!$C:$D,2,FALSE),"")</f>
        <v>0</v>
      </c>
      <c r="H77" s="22">
        <v>46035</v>
      </c>
      <c r="I77" s="17" t="s">
        <v>204</v>
      </c>
      <c r="J77" s="17" t="s">
        <v>151</v>
      </c>
      <c r="K77" s="17" t="s">
        <v>42</v>
      </c>
      <c r="L77" s="17">
        <v>10000064</v>
      </c>
      <c r="M77" s="17" t="s">
        <v>181</v>
      </c>
      <c r="N77" s="17">
        <v>21615152</v>
      </c>
      <c r="O77" s="17" t="s">
        <v>946</v>
      </c>
      <c r="P77" s="17" t="s">
        <v>148</v>
      </c>
      <c r="Q77" s="17" t="s">
        <v>253</v>
      </c>
      <c r="R77" s="17" t="s">
        <v>946</v>
      </c>
      <c r="S77" s="17" t="s">
        <v>155</v>
      </c>
      <c r="T77" s="17" t="s">
        <v>146</v>
      </c>
      <c r="U77" s="17" t="s">
        <v>251</v>
      </c>
      <c r="V77" s="17" t="s">
        <v>945</v>
      </c>
      <c r="W77" s="17" t="s">
        <v>361</v>
      </c>
    </row>
    <row r="78" spans="1:23" x14ac:dyDescent="0.45">
      <c r="A78" s="17" t="s">
        <v>254</v>
      </c>
      <c r="B78" s="22">
        <v>46035</v>
      </c>
      <c r="C78" s="17">
        <v>151293374</v>
      </c>
      <c r="D78" s="26">
        <f>IFERROR(SUMIF(Servicios_Promotores!$B:$B,C78,Servicios_Promotores!$R:$R),0)</f>
        <v>0</v>
      </c>
      <c r="E78" s="26">
        <f>IFERROR(SUMIF(Pago_GERE!$B:$B,C78,Pago_GERE!$R:$R),0)</f>
        <v>0</v>
      </c>
      <c r="F78" s="26">
        <f>IFERROR(SUMIF(Hoja2!$H:$H,C78,Hoja2!$U:$U),0)</f>
        <v>0</v>
      </c>
      <c r="G78" s="17">
        <f>IFERROR(VLOOKUP(C78,Hoja3!$C:$D,2,FALSE),"")</f>
        <v>0</v>
      </c>
      <c r="H78" s="22">
        <v>46042</v>
      </c>
      <c r="I78" s="17" t="s">
        <v>158</v>
      </c>
      <c r="J78" s="17" t="s">
        <v>151</v>
      </c>
      <c r="K78" s="17" t="s">
        <v>42</v>
      </c>
      <c r="L78" s="17">
        <v>10000064</v>
      </c>
      <c r="M78" s="17" t="s">
        <v>181</v>
      </c>
      <c r="N78" s="17">
        <v>21618789</v>
      </c>
      <c r="O78" s="17" t="s">
        <v>937</v>
      </c>
      <c r="P78" s="17" t="s">
        <v>192</v>
      </c>
      <c r="Q78" s="17" t="s">
        <v>253</v>
      </c>
      <c r="R78" s="17" t="s">
        <v>937</v>
      </c>
      <c r="S78" s="17" t="s">
        <v>155</v>
      </c>
      <c r="T78" s="17" t="s">
        <v>146</v>
      </c>
      <c r="U78" s="17" t="s">
        <v>251</v>
      </c>
      <c r="V78" s="17" t="s">
        <v>559</v>
      </c>
      <c r="W78" s="17" t="s">
        <v>558</v>
      </c>
    </row>
    <row r="79" spans="1:23" x14ac:dyDescent="0.45">
      <c r="A79" s="17" t="s">
        <v>254</v>
      </c>
      <c r="B79" s="22">
        <v>46035</v>
      </c>
      <c r="C79" s="17">
        <v>151293064</v>
      </c>
      <c r="D79" s="26">
        <f>IFERROR(SUMIF(Servicios_Promotores!$B:$B,C79,Servicios_Promotores!$R:$R),0)</f>
        <v>0</v>
      </c>
      <c r="E79" s="26">
        <f>IFERROR(SUMIF(Pago_GERE!$B:$B,C79,Pago_GERE!$R:$R),0)</f>
        <v>0</v>
      </c>
      <c r="F79" s="26">
        <f>IFERROR(SUMIF(Hoja2!$H:$H,C79,Hoja2!$U:$U),0)</f>
        <v>898</v>
      </c>
      <c r="G79" s="17">
        <f>IFERROR(VLOOKUP(C79,Hoja3!$C:$D,2,FALSE),"")</f>
        <v>0</v>
      </c>
      <c r="H79" s="22">
        <v>46038</v>
      </c>
      <c r="I79" s="17" t="s">
        <v>158</v>
      </c>
      <c r="J79" s="17" t="s">
        <v>151</v>
      </c>
      <c r="K79" s="17" t="s">
        <v>42</v>
      </c>
      <c r="L79" s="17">
        <v>10000064</v>
      </c>
      <c r="M79" s="17" t="s">
        <v>181</v>
      </c>
      <c r="N79" s="17">
        <v>21616986</v>
      </c>
      <c r="O79" s="17" t="s">
        <v>936</v>
      </c>
      <c r="P79" s="17" t="s">
        <v>192</v>
      </c>
      <c r="Q79" s="17" t="s">
        <v>253</v>
      </c>
      <c r="R79" s="17" t="s">
        <v>936</v>
      </c>
      <c r="S79" s="17" t="s">
        <v>155</v>
      </c>
      <c r="T79" s="17" t="s">
        <v>146</v>
      </c>
      <c r="U79" s="17" t="s">
        <v>251</v>
      </c>
      <c r="V79" s="17" t="s">
        <v>934</v>
      </c>
      <c r="W79" s="17" t="s">
        <v>558</v>
      </c>
    </row>
    <row r="80" spans="1:23" x14ac:dyDescent="0.45">
      <c r="A80" s="17" t="s">
        <v>254</v>
      </c>
      <c r="B80" s="22">
        <v>46035</v>
      </c>
      <c r="C80" s="17">
        <v>151293410</v>
      </c>
      <c r="D80" s="26">
        <f>IFERROR(SUMIF(Servicios_Promotores!$B:$B,C80,Servicios_Promotores!$R:$R),0)</f>
        <v>0</v>
      </c>
      <c r="E80" s="26">
        <f>IFERROR(SUMIF(Pago_GERE!$B:$B,C80,Pago_GERE!$R:$R),0)</f>
        <v>0</v>
      </c>
      <c r="F80" s="26">
        <f>IFERROR(SUMIF(Hoja2!$H:$H,C80,Hoja2!$U:$U),0)</f>
        <v>1647</v>
      </c>
      <c r="G80" s="17">
        <f>IFERROR(VLOOKUP(C80,Hoja3!$C:$D,2,FALSE),"")</f>
        <v>0</v>
      </c>
      <c r="H80" s="22">
        <v>46038</v>
      </c>
      <c r="I80" s="17" t="s">
        <v>158</v>
      </c>
      <c r="J80" s="17" t="s">
        <v>151</v>
      </c>
      <c r="K80" s="17" t="s">
        <v>42</v>
      </c>
      <c r="L80" s="17">
        <v>10000064</v>
      </c>
      <c r="M80" s="17" t="s">
        <v>181</v>
      </c>
      <c r="N80" s="17">
        <v>21619020</v>
      </c>
      <c r="O80" s="17" t="s">
        <v>935</v>
      </c>
      <c r="P80" s="17" t="s">
        <v>192</v>
      </c>
      <c r="Q80" s="17" t="s">
        <v>253</v>
      </c>
      <c r="R80" s="17" t="s">
        <v>935</v>
      </c>
      <c r="S80" s="17" t="s">
        <v>155</v>
      </c>
      <c r="T80" s="17" t="s">
        <v>146</v>
      </c>
      <c r="U80" s="17" t="s">
        <v>251</v>
      </c>
      <c r="V80" s="17" t="s">
        <v>934</v>
      </c>
      <c r="W80" s="17" t="s">
        <v>558</v>
      </c>
    </row>
    <row r="81" spans="1:23" x14ac:dyDescent="0.45">
      <c r="A81" s="17" t="s">
        <v>254</v>
      </c>
      <c r="B81" s="22">
        <v>46130</v>
      </c>
      <c r="C81" s="17">
        <v>151465310</v>
      </c>
      <c r="D81" s="26">
        <f>IFERROR(SUMIF(Servicios_Promotores!$B:$B,C81,Servicios_Promotores!$R:$R),0)</f>
        <v>262.99999998999999</v>
      </c>
      <c r="E81" s="26">
        <f>IFERROR(SUMIF(Pago_GERE!$B:$B,C81,Pago_GERE!$R:$R),0)</f>
        <v>187.00000001799998</v>
      </c>
      <c r="F81" s="26">
        <f>IFERROR(SUMIF(Hoja2!$H:$H,C81,Hoja2!$U:$U),0)</f>
        <v>0</v>
      </c>
      <c r="G81" s="17">
        <f>IFERROR(VLOOKUP(C81,Hoja3!$C:$D,2,FALSE),"")</f>
        <v>0</v>
      </c>
      <c r="H81" s="22">
        <v>46133</v>
      </c>
      <c r="I81" s="17" t="s">
        <v>152</v>
      </c>
      <c r="J81" s="17" t="s">
        <v>165</v>
      </c>
      <c r="K81" s="17" t="s">
        <v>55</v>
      </c>
      <c r="L81" s="17">
        <v>10000064</v>
      </c>
      <c r="M81" s="17" t="s">
        <v>181</v>
      </c>
      <c r="N81" s="17">
        <v>24498715</v>
      </c>
      <c r="O81" s="17" t="s">
        <v>484</v>
      </c>
      <c r="P81" s="17" t="s">
        <v>221</v>
      </c>
      <c r="Q81" s="17" t="s">
        <v>253</v>
      </c>
      <c r="R81" s="17" t="s">
        <v>484</v>
      </c>
      <c r="S81" s="17" t="s">
        <v>147</v>
      </c>
      <c r="T81" s="17" t="s">
        <v>55</v>
      </c>
      <c r="U81" s="17" t="s">
        <v>251</v>
      </c>
      <c r="V81" s="17" t="s">
        <v>483</v>
      </c>
      <c r="W81" s="17" t="s">
        <v>249</v>
      </c>
    </row>
    <row r="82" spans="1:23" x14ac:dyDescent="0.45">
      <c r="A82" s="17" t="s">
        <v>254</v>
      </c>
      <c r="B82" s="22">
        <v>46130</v>
      </c>
      <c r="C82" s="17">
        <v>151465766</v>
      </c>
      <c r="D82" s="26">
        <f>IFERROR(SUMIF(Servicios_Promotores!$B:$B,C82,Servicios_Promotores!$R:$R),0)</f>
        <v>317.99999997999998</v>
      </c>
      <c r="E82" s="26">
        <f>IFERROR(SUMIF(Pago_GERE!$B:$B,C82,Pago_GERE!$R:$R),0)</f>
        <v>272.00000002499996</v>
      </c>
      <c r="F82" s="26">
        <f>IFERROR(SUMIF(Hoja2!$H:$H,C82,Hoja2!$U:$U),0)</f>
        <v>0</v>
      </c>
      <c r="G82" s="17">
        <f>IFERROR(VLOOKUP(C82,Hoja3!$C:$D,2,FALSE),"")</f>
        <v>0</v>
      </c>
      <c r="H82" s="22">
        <v>46133</v>
      </c>
      <c r="I82" s="17" t="s">
        <v>152</v>
      </c>
      <c r="J82" s="17" t="s">
        <v>165</v>
      </c>
      <c r="K82" s="17" t="s">
        <v>36</v>
      </c>
      <c r="L82" s="17">
        <v>10000064</v>
      </c>
      <c r="M82" s="17" t="s">
        <v>181</v>
      </c>
      <c r="N82" s="17">
        <v>24494036</v>
      </c>
      <c r="O82" s="17" t="s">
        <v>481</v>
      </c>
      <c r="P82" s="17" t="s">
        <v>482</v>
      </c>
      <c r="Q82" s="17" t="s">
        <v>253</v>
      </c>
      <c r="R82" s="17" t="s">
        <v>481</v>
      </c>
      <c r="S82" s="17" t="s">
        <v>147</v>
      </c>
      <c r="T82" s="17" t="s">
        <v>480</v>
      </c>
      <c r="U82" s="17" t="s">
        <v>251</v>
      </c>
      <c r="V82" s="17" t="s">
        <v>479</v>
      </c>
      <c r="W82" s="17" t="s">
        <v>478</v>
      </c>
    </row>
    <row r="83" spans="1:23" x14ac:dyDescent="0.45">
      <c r="A83" s="17" t="s">
        <v>254</v>
      </c>
      <c r="B83" s="22">
        <v>46128</v>
      </c>
      <c r="C83" s="17">
        <v>151462717</v>
      </c>
      <c r="D83" s="26">
        <f>IFERROR(SUMIF(Servicios_Promotores!$B:$B,C83,Servicios_Promotores!$R:$R),0)</f>
        <v>262.99999998999999</v>
      </c>
      <c r="E83" s="26">
        <f>IFERROR(SUMIF(Pago_GERE!$B:$B,C83,Pago_GERE!$R:$R),0)</f>
        <v>187.00000001799998</v>
      </c>
      <c r="F83" s="26">
        <f>IFERROR(SUMIF(Hoja2!$H:$H,C83,Hoja2!$U:$U),0)</f>
        <v>0</v>
      </c>
      <c r="G83" s="17">
        <f>IFERROR(VLOOKUP(C83,Hoja3!$C:$D,2,FALSE),"")</f>
        <v>0</v>
      </c>
      <c r="H83" s="22">
        <v>46133</v>
      </c>
      <c r="I83" s="17" t="s">
        <v>152</v>
      </c>
      <c r="J83" s="17" t="s">
        <v>165</v>
      </c>
      <c r="K83" s="17" t="s">
        <v>36</v>
      </c>
      <c r="L83" s="17">
        <v>10000064</v>
      </c>
      <c r="M83" s="17" t="s">
        <v>181</v>
      </c>
      <c r="N83" s="17">
        <v>24498639</v>
      </c>
      <c r="O83" s="17" t="s">
        <v>474</v>
      </c>
      <c r="P83" s="17" t="s">
        <v>403</v>
      </c>
      <c r="Q83" s="17" t="s">
        <v>253</v>
      </c>
      <c r="R83" s="17" t="s">
        <v>474</v>
      </c>
      <c r="S83" s="17" t="s">
        <v>147</v>
      </c>
      <c r="T83" s="17" t="s">
        <v>173</v>
      </c>
      <c r="U83" s="17" t="s">
        <v>251</v>
      </c>
      <c r="V83" s="17" t="s">
        <v>473</v>
      </c>
      <c r="W83" s="17" t="s">
        <v>472</v>
      </c>
    </row>
    <row r="84" spans="1:23" x14ac:dyDescent="0.45">
      <c r="A84" s="17" t="s">
        <v>254</v>
      </c>
      <c r="B84" s="22">
        <v>46128</v>
      </c>
      <c r="C84" s="17">
        <v>151462743</v>
      </c>
      <c r="D84" s="26">
        <f>IFERROR(SUMIF(Servicios_Promotores!$B:$B,C84,Servicios_Promotores!$R:$R),0)</f>
        <v>262.99999998999999</v>
      </c>
      <c r="E84" s="26">
        <f>IFERROR(SUMIF(Pago_GERE!$B:$B,C84,Pago_GERE!$R:$R),0)</f>
        <v>187.00000001799998</v>
      </c>
      <c r="F84" s="26">
        <f>IFERROR(SUMIF(Hoja2!$H:$H,C84,Hoja2!$U:$U),0)</f>
        <v>0</v>
      </c>
      <c r="G84" s="17">
        <f>IFERROR(VLOOKUP(C84,Hoja3!$C:$D,2,FALSE),"")</f>
        <v>0</v>
      </c>
      <c r="H84" s="22">
        <v>46135</v>
      </c>
      <c r="I84" s="17" t="s">
        <v>209</v>
      </c>
      <c r="J84" s="17" t="s">
        <v>165</v>
      </c>
      <c r="K84" s="17" t="s">
        <v>36</v>
      </c>
      <c r="L84" s="17">
        <v>10000064</v>
      </c>
      <c r="M84" s="17" t="s">
        <v>181</v>
      </c>
      <c r="N84" s="17">
        <v>24551027</v>
      </c>
      <c r="O84" s="17" t="s">
        <v>464</v>
      </c>
      <c r="P84" s="17" t="s">
        <v>403</v>
      </c>
      <c r="Q84" s="17" t="s">
        <v>253</v>
      </c>
      <c r="R84" s="17" t="s">
        <v>464</v>
      </c>
      <c r="S84" s="17" t="s">
        <v>147</v>
      </c>
      <c r="T84" s="17" t="s">
        <v>173</v>
      </c>
      <c r="U84" s="17" t="s">
        <v>251</v>
      </c>
      <c r="V84" s="17" t="s">
        <v>463</v>
      </c>
      <c r="W84" s="17" t="s">
        <v>462</v>
      </c>
    </row>
    <row r="85" spans="1:23" x14ac:dyDescent="0.45">
      <c r="A85" s="17" t="s">
        <v>254</v>
      </c>
      <c r="B85" s="22">
        <v>46127</v>
      </c>
      <c r="C85" s="17">
        <v>151460807</v>
      </c>
      <c r="D85" s="26">
        <f>IFERROR(SUMIF(Servicios_Promotores!$B:$B,C85,Servicios_Promotores!$R:$R),0)</f>
        <v>262.99999998999999</v>
      </c>
      <c r="E85" s="26">
        <f>IFERROR(SUMIF(Pago_GERE!$B:$B,C85,Pago_GERE!$R:$R),0)</f>
        <v>187.00000001799998</v>
      </c>
      <c r="F85" s="26">
        <f>IFERROR(SUMIF(Hoja2!$H:$H,C85,Hoja2!$U:$U),0)</f>
        <v>0</v>
      </c>
      <c r="G85" s="17">
        <f>IFERROR(VLOOKUP(C85,Hoja3!$C:$D,2,FALSE),"")</f>
        <v>0</v>
      </c>
      <c r="H85" s="22">
        <v>46134</v>
      </c>
      <c r="I85" s="17" t="s">
        <v>152</v>
      </c>
      <c r="J85" s="17" t="s">
        <v>165</v>
      </c>
      <c r="K85" s="17" t="s">
        <v>39</v>
      </c>
      <c r="L85" s="17">
        <v>10000064</v>
      </c>
      <c r="M85" s="17" t="s">
        <v>181</v>
      </c>
      <c r="N85" s="17">
        <v>24521664</v>
      </c>
      <c r="O85" s="17" t="s">
        <v>461</v>
      </c>
      <c r="P85" s="17" t="s">
        <v>160</v>
      </c>
      <c r="Q85" s="17" t="s">
        <v>253</v>
      </c>
      <c r="R85" s="17" t="s">
        <v>461</v>
      </c>
      <c r="S85" s="17" t="s">
        <v>147</v>
      </c>
      <c r="T85" s="17" t="s">
        <v>159</v>
      </c>
      <c r="U85" s="17" t="s">
        <v>251</v>
      </c>
      <c r="V85" s="17" t="s">
        <v>460</v>
      </c>
      <c r="W85" s="17" t="s">
        <v>459</v>
      </c>
    </row>
    <row r="86" spans="1:23" x14ac:dyDescent="0.45">
      <c r="A86" s="17" t="s">
        <v>254</v>
      </c>
      <c r="B86" s="22">
        <v>46127</v>
      </c>
      <c r="C86" s="17">
        <v>151460739</v>
      </c>
      <c r="D86" s="26">
        <f>IFERROR(SUMIF(Servicios_Promotores!$B:$B,C86,Servicios_Promotores!$R:$R),0)</f>
        <v>317.99999999299996</v>
      </c>
      <c r="E86" s="26">
        <f>IFERROR(SUMIF(Pago_GERE!$B:$B,C86,Pago_GERE!$R:$R),0)</f>
        <v>272.000000038</v>
      </c>
      <c r="F86" s="26">
        <f>IFERROR(SUMIF(Hoja2!$H:$H,C86,Hoja2!$U:$U),0)</f>
        <v>0</v>
      </c>
      <c r="G86" s="17">
        <f>IFERROR(VLOOKUP(C86,Hoja3!$C:$D,2,FALSE),"")</f>
        <v>0</v>
      </c>
      <c r="H86" s="22">
        <v>46132</v>
      </c>
      <c r="I86" s="17" t="s">
        <v>209</v>
      </c>
      <c r="J86" s="17" t="s">
        <v>165</v>
      </c>
      <c r="K86" s="17" t="s">
        <v>42</v>
      </c>
      <c r="L86" s="17">
        <v>10000064</v>
      </c>
      <c r="M86" s="17" t="s">
        <v>181</v>
      </c>
      <c r="N86" s="17">
        <v>24472161</v>
      </c>
      <c r="O86" s="17" t="s">
        <v>456</v>
      </c>
      <c r="P86" s="17" t="s">
        <v>148</v>
      </c>
      <c r="Q86" s="17" t="s">
        <v>253</v>
      </c>
      <c r="R86" s="17" t="s">
        <v>456</v>
      </c>
      <c r="S86" s="17" t="s">
        <v>147</v>
      </c>
      <c r="T86" s="17" t="s">
        <v>146</v>
      </c>
      <c r="U86" s="17" t="s">
        <v>251</v>
      </c>
      <c r="V86" s="17" t="s">
        <v>453</v>
      </c>
      <c r="W86" s="17" t="s">
        <v>452</v>
      </c>
    </row>
    <row r="87" spans="1:23" x14ac:dyDescent="0.45">
      <c r="A87" s="17" t="s">
        <v>254</v>
      </c>
      <c r="B87" s="22">
        <v>46127</v>
      </c>
      <c r="C87" s="17">
        <v>151460691</v>
      </c>
      <c r="D87" s="26">
        <f>IFERROR(SUMIF(Servicios_Promotores!$B:$B,C87,Servicios_Promotores!$R:$R),0)</f>
        <v>317.99999997999998</v>
      </c>
      <c r="E87" s="26">
        <f>IFERROR(SUMIF(Pago_GERE!$B:$B,C87,Pago_GERE!$R:$R),0)</f>
        <v>272.00000002499996</v>
      </c>
      <c r="F87" s="26">
        <f>IFERROR(SUMIF(Hoja2!$H:$H,C87,Hoja2!$U:$U),0)</f>
        <v>0</v>
      </c>
      <c r="G87" s="17">
        <f>IFERROR(VLOOKUP(C87,Hoja3!$C:$D,2,FALSE),"")</f>
        <v>0</v>
      </c>
      <c r="H87" s="22">
        <v>46133</v>
      </c>
      <c r="I87" s="17" t="s">
        <v>152</v>
      </c>
      <c r="J87" s="17" t="s">
        <v>165</v>
      </c>
      <c r="K87" s="17" t="s">
        <v>31</v>
      </c>
      <c r="L87" s="17">
        <v>10000064</v>
      </c>
      <c r="M87" s="17" t="s">
        <v>181</v>
      </c>
      <c r="N87" s="17">
        <v>24300518</v>
      </c>
      <c r="O87" s="17" t="s">
        <v>180</v>
      </c>
      <c r="P87" s="17" t="s">
        <v>179</v>
      </c>
      <c r="Q87" s="17" t="s">
        <v>253</v>
      </c>
      <c r="R87" s="17" t="s">
        <v>180</v>
      </c>
      <c r="S87" s="17" t="s">
        <v>147</v>
      </c>
      <c r="T87" s="17" t="s">
        <v>178</v>
      </c>
      <c r="U87" s="17" t="s">
        <v>251</v>
      </c>
      <c r="V87" s="17" t="s">
        <v>176</v>
      </c>
      <c r="W87" s="17" t="s">
        <v>175</v>
      </c>
    </row>
    <row r="88" spans="1:23" x14ac:dyDescent="0.45">
      <c r="A88" s="17" t="s">
        <v>254</v>
      </c>
      <c r="B88" s="22">
        <v>46125</v>
      </c>
      <c r="C88" s="17">
        <v>151456274</v>
      </c>
      <c r="D88" s="26">
        <f>IFERROR(SUMIF(Servicios_Promotores!$B:$B,C88,Servicios_Promotores!$R:$R),0)</f>
        <v>317.99999999299996</v>
      </c>
      <c r="E88" s="26">
        <f>IFERROR(SUMIF(Pago_GERE!$B:$B,C88,Pago_GERE!$R:$R),0)</f>
        <v>272.000000038</v>
      </c>
      <c r="F88" s="26">
        <f>IFERROR(SUMIF(Hoja2!$H:$H,C88,Hoja2!$U:$U),0)</f>
        <v>0</v>
      </c>
      <c r="G88" s="17">
        <f>IFERROR(VLOOKUP(C88,Hoja3!$C:$D,2,FALSE),"")</f>
        <v>0</v>
      </c>
      <c r="H88" s="22">
        <v>46132</v>
      </c>
      <c r="I88" s="17" t="s">
        <v>152</v>
      </c>
      <c r="J88" s="17" t="s">
        <v>165</v>
      </c>
      <c r="K88" s="17" t="s">
        <v>31</v>
      </c>
      <c r="L88" s="17">
        <v>10000064</v>
      </c>
      <c r="M88" s="17" t="s">
        <v>181</v>
      </c>
      <c r="N88" s="17">
        <v>24472122</v>
      </c>
      <c r="O88" s="17" t="s">
        <v>451</v>
      </c>
      <c r="P88" s="17" t="s">
        <v>179</v>
      </c>
      <c r="Q88" s="17" t="s">
        <v>253</v>
      </c>
      <c r="R88" s="17" t="s">
        <v>451</v>
      </c>
      <c r="S88" s="17" t="s">
        <v>147</v>
      </c>
      <c r="T88" s="17" t="s">
        <v>178</v>
      </c>
      <c r="U88" s="17" t="s">
        <v>251</v>
      </c>
      <c r="V88" s="17" t="s">
        <v>448</v>
      </c>
      <c r="W88" s="17" t="s">
        <v>447</v>
      </c>
    </row>
    <row r="89" spans="1:23" x14ac:dyDescent="0.45">
      <c r="A89" s="17" t="s">
        <v>254</v>
      </c>
      <c r="B89" s="22">
        <v>46125</v>
      </c>
      <c r="C89" s="17">
        <v>151456324</v>
      </c>
      <c r="D89" s="26">
        <f>IFERROR(SUMIF(Servicios_Promotores!$B:$B,C89,Servicios_Promotores!$R:$R),0)</f>
        <v>317.99999997999998</v>
      </c>
      <c r="E89" s="26">
        <f>IFERROR(SUMIF(Pago_GERE!$B:$B,C89,Pago_GERE!$R:$R),0)</f>
        <v>272.00000002499996</v>
      </c>
      <c r="F89" s="26">
        <f>IFERROR(SUMIF(Hoja2!$H:$H,C89,Hoja2!$U:$U),0)</f>
        <v>0</v>
      </c>
      <c r="G89" s="17">
        <f>IFERROR(VLOOKUP(C89,Hoja3!$C:$D,2,FALSE),"")</f>
        <v>0</v>
      </c>
      <c r="H89" s="22">
        <v>46132</v>
      </c>
      <c r="I89" s="17" t="s">
        <v>209</v>
      </c>
      <c r="J89" s="17" t="s">
        <v>165</v>
      </c>
      <c r="K89" s="17" t="s">
        <v>31</v>
      </c>
      <c r="L89" s="17">
        <v>10000064</v>
      </c>
      <c r="M89" s="17" t="s">
        <v>181</v>
      </c>
      <c r="N89" s="17">
        <v>24472126</v>
      </c>
      <c r="O89" s="17" t="s">
        <v>449</v>
      </c>
      <c r="P89" s="17" t="s">
        <v>179</v>
      </c>
      <c r="Q89" s="17" t="s">
        <v>253</v>
      </c>
      <c r="R89" s="17" t="s">
        <v>449</v>
      </c>
      <c r="S89" s="17" t="s">
        <v>147</v>
      </c>
      <c r="T89" s="17" t="s">
        <v>178</v>
      </c>
      <c r="U89" s="17" t="s">
        <v>251</v>
      </c>
      <c r="V89" s="17" t="s">
        <v>448</v>
      </c>
      <c r="W89" s="17" t="s">
        <v>447</v>
      </c>
    </row>
    <row r="90" spans="1:23" x14ac:dyDescent="0.45">
      <c r="A90" s="17"/>
      <c r="B90" s="22">
        <v>46083</v>
      </c>
      <c r="C90" s="17">
        <v>151380411</v>
      </c>
      <c r="D90" s="26">
        <f>IFERROR(SUMIF(Servicios_Promotores!$B:$B,C90,Servicios_Promotores!$R:$R),0)</f>
        <v>0</v>
      </c>
      <c r="E90" s="26">
        <f>IFERROR(SUMIF(Pago_GERE!$B:$B,C90,Pago_GERE!$R:$R),0)</f>
        <v>0</v>
      </c>
      <c r="F90" s="26">
        <f>IFERROR(SUMIF(Hoja2!$H:$H,C90,Hoja2!$U:$U),0)</f>
        <v>0</v>
      </c>
      <c r="G90" s="17">
        <f>IFERROR(VLOOKUP(C90,Hoja3!$C:$D,2,FALSE),"")</f>
        <v>0</v>
      </c>
      <c r="H90" s="17"/>
      <c r="I90" s="17" t="s">
        <v>152</v>
      </c>
      <c r="J90" s="17" t="s">
        <v>165</v>
      </c>
      <c r="K90" s="17" t="s">
        <v>39</v>
      </c>
      <c r="L90" s="17">
        <v>10000064</v>
      </c>
      <c r="M90" s="17" t="s">
        <v>181</v>
      </c>
      <c r="N90" s="17">
        <v>151380411</v>
      </c>
      <c r="O90" s="17" t="s">
        <v>186</v>
      </c>
      <c r="P90" s="17" t="s">
        <v>185</v>
      </c>
      <c r="Q90" s="17"/>
      <c r="R90" s="17"/>
      <c r="S90" s="17" t="s">
        <v>147</v>
      </c>
      <c r="T90" s="17" t="s">
        <v>184</v>
      </c>
      <c r="U90" s="17" t="s">
        <v>182</v>
      </c>
      <c r="V90" s="17"/>
      <c r="W90" s="17"/>
    </row>
    <row r="91" spans="1:23" x14ac:dyDescent="0.45">
      <c r="A91" s="17"/>
      <c r="B91" s="22">
        <v>46127</v>
      </c>
      <c r="C91" s="17">
        <v>151460694</v>
      </c>
      <c r="D91" s="26">
        <f>IFERROR(SUMIF(Servicios_Promotores!$B:$B,C91,Servicios_Promotores!$R:$R),0)</f>
        <v>0</v>
      </c>
      <c r="E91" s="26">
        <f>IFERROR(SUMIF(Pago_GERE!$B:$B,C91,Pago_GERE!$R:$R),0)</f>
        <v>0</v>
      </c>
      <c r="F91" s="26">
        <f>IFERROR(SUMIF(Hoja2!$H:$H,C91,Hoja2!$U:$U),0)</f>
        <v>0</v>
      </c>
      <c r="G91" s="17">
        <f>IFERROR(VLOOKUP(C91,Hoja3!$C:$D,2,FALSE),"")</f>
        <v>0</v>
      </c>
      <c r="H91" s="17"/>
      <c r="I91" s="17" t="s">
        <v>152</v>
      </c>
      <c r="J91" s="17" t="s">
        <v>165</v>
      </c>
      <c r="K91" s="17" t="s">
        <v>31</v>
      </c>
      <c r="L91" s="17">
        <v>10000064</v>
      </c>
      <c r="M91" s="17" t="s">
        <v>181</v>
      </c>
      <c r="N91" s="17">
        <v>151460694</v>
      </c>
      <c r="O91" s="17" t="s">
        <v>180</v>
      </c>
      <c r="P91" s="17" t="s">
        <v>179</v>
      </c>
      <c r="Q91" s="17"/>
      <c r="R91" s="17"/>
      <c r="S91" s="17" t="s">
        <v>147</v>
      </c>
      <c r="T91" s="17" t="s">
        <v>178</v>
      </c>
      <c r="U91" s="17" t="s">
        <v>177</v>
      </c>
      <c r="V91" s="17" t="s">
        <v>176</v>
      </c>
      <c r="W91" s="17" t="s">
        <v>175</v>
      </c>
    </row>
    <row r="92" spans="1:23" x14ac:dyDescent="0.45">
      <c r="A92" s="17" t="s">
        <v>1065</v>
      </c>
      <c r="B92" s="22">
        <v>46028</v>
      </c>
      <c r="C92" s="17">
        <v>151279633</v>
      </c>
      <c r="D92" s="26">
        <f>IFERROR(SUMIF(Servicios_Promotores!$B:$B,C92,Servicios_Promotores!$R:$R),0)</f>
        <v>0</v>
      </c>
      <c r="E92" s="26">
        <f>IFERROR(SUMIF(Pago_GERE!$B:$B,C92,Pago_GERE!$R:$R),0)</f>
        <v>0</v>
      </c>
      <c r="F92" s="26">
        <f>IFERROR(SUMIF(Hoja2!$H:$H,C92,Hoja2!$U:$U),0)</f>
        <v>0</v>
      </c>
      <c r="G92" s="17">
        <f>IFERROR(VLOOKUP(C92,Hoja3!$C:$D,2,FALSE),"")</f>
        <v>0</v>
      </c>
      <c r="H92" s="17"/>
      <c r="I92" s="17" t="s">
        <v>197</v>
      </c>
      <c r="J92" s="17" t="s">
        <v>165</v>
      </c>
      <c r="K92" s="17" t="s">
        <v>42</v>
      </c>
      <c r="L92" s="17">
        <v>10000064</v>
      </c>
      <c r="M92" s="17" t="s">
        <v>211</v>
      </c>
      <c r="N92" s="17">
        <v>21458766</v>
      </c>
      <c r="O92" s="17" t="s">
        <v>1129</v>
      </c>
      <c r="P92" s="17" t="s">
        <v>148</v>
      </c>
      <c r="Q92" s="17" t="s">
        <v>1064</v>
      </c>
      <c r="R92" s="17" t="s">
        <v>1129</v>
      </c>
      <c r="S92" s="17" t="s">
        <v>147</v>
      </c>
      <c r="T92" s="17" t="s">
        <v>146</v>
      </c>
      <c r="U92" s="17" t="s">
        <v>251</v>
      </c>
      <c r="V92" s="17"/>
      <c r="W92" s="17"/>
    </row>
    <row r="93" spans="1:23" x14ac:dyDescent="0.45">
      <c r="A93" s="17" t="s">
        <v>1065</v>
      </c>
      <c r="B93" s="22">
        <v>46084</v>
      </c>
      <c r="C93" s="17">
        <v>151384701</v>
      </c>
      <c r="D93" s="26">
        <f>IFERROR(SUMIF(Servicios_Promotores!$B:$B,C93,Servicios_Promotores!$R:$R),0)</f>
        <v>0</v>
      </c>
      <c r="E93" s="26">
        <f>IFERROR(SUMIF(Pago_GERE!$B:$B,C93,Pago_GERE!$R:$R),0)</f>
        <v>0</v>
      </c>
      <c r="F93" s="26">
        <f>IFERROR(SUMIF(Hoja2!$H:$H,C93,Hoja2!$U:$U),0)</f>
        <v>0</v>
      </c>
      <c r="G93" s="17">
        <f>IFERROR(VLOOKUP(C93,Hoja3!$C:$D,2,FALSE),"")</f>
        <v>0</v>
      </c>
      <c r="H93" s="17"/>
      <c r="I93" s="17" t="s">
        <v>158</v>
      </c>
      <c r="J93" s="17" t="s">
        <v>151</v>
      </c>
      <c r="K93" s="17" t="s">
        <v>31</v>
      </c>
      <c r="L93" s="17">
        <v>10000064</v>
      </c>
      <c r="M93" s="17" t="s">
        <v>211</v>
      </c>
      <c r="N93" s="17">
        <v>22765278</v>
      </c>
      <c r="O93" s="17" t="s">
        <v>1066</v>
      </c>
      <c r="P93" s="17" t="s">
        <v>179</v>
      </c>
      <c r="Q93" s="17" t="s">
        <v>1064</v>
      </c>
      <c r="R93" s="17" t="s">
        <v>1066</v>
      </c>
      <c r="S93" s="17" t="s">
        <v>155</v>
      </c>
      <c r="T93" s="17" t="s">
        <v>178</v>
      </c>
      <c r="U93" s="17" t="s">
        <v>251</v>
      </c>
      <c r="V93" s="17"/>
      <c r="W93" s="17"/>
    </row>
    <row r="94" spans="1:23" x14ac:dyDescent="0.45">
      <c r="A94" s="17" t="s">
        <v>254</v>
      </c>
      <c r="B94" s="22">
        <v>46032</v>
      </c>
      <c r="C94" s="17">
        <v>151288448</v>
      </c>
      <c r="D94" s="26">
        <f>IFERROR(SUMIF(Servicios_Promotores!$B:$B,C94,Servicios_Promotores!$R:$R),0)</f>
        <v>0</v>
      </c>
      <c r="E94" s="26">
        <f>IFERROR(SUMIF(Pago_GERE!$B:$B,C94,Pago_GERE!$R:$R),0)</f>
        <v>0</v>
      </c>
      <c r="F94" s="26">
        <f>IFERROR(SUMIF(Hoja2!$H:$H,C94,Hoja2!$U:$U),0)</f>
        <v>1148</v>
      </c>
      <c r="G94" s="17">
        <f>IFERROR(VLOOKUP(C94,Hoja3!$C:$D,2,FALSE),"")</f>
        <v>0</v>
      </c>
      <c r="H94" s="22">
        <v>46036</v>
      </c>
      <c r="I94" s="17" t="s">
        <v>152</v>
      </c>
      <c r="J94" s="17" t="s">
        <v>165</v>
      </c>
      <c r="K94" s="17" t="s">
        <v>55</v>
      </c>
      <c r="L94" s="17">
        <v>10000064</v>
      </c>
      <c r="M94" s="17" t="s">
        <v>211</v>
      </c>
      <c r="N94" s="17">
        <v>21661238</v>
      </c>
      <c r="O94" s="17" t="s">
        <v>928</v>
      </c>
      <c r="P94" s="17" t="s">
        <v>534</v>
      </c>
      <c r="Q94" s="17" t="s">
        <v>253</v>
      </c>
      <c r="R94" s="17" t="s">
        <v>928</v>
      </c>
      <c r="S94" s="17" t="s">
        <v>147</v>
      </c>
      <c r="T94" s="17" t="s">
        <v>55</v>
      </c>
      <c r="U94" s="17" t="s">
        <v>251</v>
      </c>
      <c r="V94" s="17" t="s">
        <v>927</v>
      </c>
      <c r="W94" s="17" t="s">
        <v>531</v>
      </c>
    </row>
    <row r="95" spans="1:23" x14ac:dyDescent="0.45">
      <c r="A95" s="17" t="s">
        <v>254</v>
      </c>
      <c r="B95" s="22">
        <v>46030</v>
      </c>
      <c r="C95" s="17">
        <v>151284580</v>
      </c>
      <c r="D95" s="26">
        <f>IFERROR(SUMIF(Servicios_Promotores!$B:$B,C95,Servicios_Promotores!$R:$R),0)</f>
        <v>0</v>
      </c>
      <c r="E95" s="26">
        <f>IFERROR(SUMIF(Pago_GERE!$B:$B,C95,Pago_GERE!$R:$R),0)</f>
        <v>0</v>
      </c>
      <c r="F95" s="26">
        <f>IFERROR(SUMIF(Hoja2!$H:$H,C95,Hoja2!$U:$U),0)</f>
        <v>0</v>
      </c>
      <c r="G95" s="17">
        <f>IFERROR(VLOOKUP(C95,Hoja3!$C:$D,2,FALSE),"")</f>
        <v>0</v>
      </c>
      <c r="H95" s="22">
        <v>46060</v>
      </c>
      <c r="I95" s="17" t="s">
        <v>163</v>
      </c>
      <c r="J95" s="17" t="s">
        <v>151</v>
      </c>
      <c r="K95" s="17" t="s">
        <v>31</v>
      </c>
      <c r="L95" s="17">
        <v>10000064</v>
      </c>
      <c r="M95" s="17" t="s">
        <v>211</v>
      </c>
      <c r="N95" s="17">
        <v>21502102</v>
      </c>
      <c r="O95" s="17" t="s">
        <v>908</v>
      </c>
      <c r="P95" s="17" t="s">
        <v>179</v>
      </c>
      <c r="Q95" s="17" t="s">
        <v>253</v>
      </c>
      <c r="R95" s="17" t="s">
        <v>908</v>
      </c>
      <c r="S95" s="17" t="s">
        <v>147</v>
      </c>
      <c r="T95" s="17" t="s">
        <v>178</v>
      </c>
      <c r="U95" s="17" t="s">
        <v>251</v>
      </c>
      <c r="V95" s="17" t="s">
        <v>505</v>
      </c>
      <c r="W95" s="17" t="s">
        <v>175</v>
      </c>
    </row>
    <row r="96" spans="1:23" x14ac:dyDescent="0.45">
      <c r="A96" s="17" t="s">
        <v>254</v>
      </c>
      <c r="B96" s="22">
        <v>46024</v>
      </c>
      <c r="C96" s="17">
        <v>151273590</v>
      </c>
      <c r="D96" s="26">
        <f>IFERROR(SUMIF(Servicios_Promotores!$B:$B,C96,Servicios_Promotores!$R:$R),0)</f>
        <v>0</v>
      </c>
      <c r="E96" s="26">
        <f>IFERROR(SUMIF(Pago_GERE!$B:$B,C96,Pago_GERE!$R:$R),0)</f>
        <v>0</v>
      </c>
      <c r="F96" s="26">
        <f>IFERROR(SUMIF(Hoja2!$H:$H,C96,Hoja2!$U:$U),0)</f>
        <v>1498</v>
      </c>
      <c r="G96" s="17">
        <f>IFERROR(VLOOKUP(C96,Hoja3!$C:$D,2,FALSE),"")</f>
        <v>0</v>
      </c>
      <c r="H96" s="22">
        <v>46027</v>
      </c>
      <c r="I96" s="17" t="s">
        <v>163</v>
      </c>
      <c r="J96" s="17" t="s">
        <v>151</v>
      </c>
      <c r="K96" s="17" t="s">
        <v>39</v>
      </c>
      <c r="L96" s="17">
        <v>10000064</v>
      </c>
      <c r="M96" s="17" t="s">
        <v>211</v>
      </c>
      <c r="N96" s="17">
        <v>21402065</v>
      </c>
      <c r="O96" s="17" t="s">
        <v>877</v>
      </c>
      <c r="P96" s="17" t="s">
        <v>170</v>
      </c>
      <c r="Q96" s="17" t="s">
        <v>253</v>
      </c>
      <c r="R96" s="17" t="s">
        <v>877</v>
      </c>
      <c r="S96" s="17" t="s">
        <v>147</v>
      </c>
      <c r="T96" s="17" t="s">
        <v>169</v>
      </c>
      <c r="U96" s="17" t="s">
        <v>251</v>
      </c>
      <c r="V96" s="17" t="s">
        <v>876</v>
      </c>
      <c r="W96" s="17" t="s">
        <v>875</v>
      </c>
    </row>
    <row r="97" spans="1:23" x14ac:dyDescent="0.45">
      <c r="A97" s="17"/>
      <c r="B97" s="22">
        <v>46048</v>
      </c>
      <c r="C97" s="17">
        <v>151316061</v>
      </c>
      <c r="D97" s="26">
        <f>IFERROR(SUMIF(Servicios_Promotores!$B:$B,C97,Servicios_Promotores!$R:$R),0)</f>
        <v>0</v>
      </c>
      <c r="E97" s="26">
        <f>IFERROR(SUMIF(Pago_GERE!$B:$B,C97,Pago_GERE!$R:$R),0)</f>
        <v>0</v>
      </c>
      <c r="F97" s="26">
        <f>IFERROR(SUMIF(Hoja2!$H:$H,C97,Hoja2!$U:$U),0)</f>
        <v>0</v>
      </c>
      <c r="G97" s="17">
        <f>IFERROR(VLOOKUP(C97,Hoja3!$C:$D,2,FALSE),"")</f>
        <v>0</v>
      </c>
      <c r="H97" s="17"/>
      <c r="I97" s="17" t="s">
        <v>209</v>
      </c>
      <c r="J97" s="17" t="s">
        <v>165</v>
      </c>
      <c r="K97" s="17" t="s">
        <v>39</v>
      </c>
      <c r="L97" s="17">
        <v>10000064</v>
      </c>
      <c r="M97" s="17" t="s">
        <v>211</v>
      </c>
      <c r="N97" s="17">
        <v>151316061</v>
      </c>
      <c r="O97" s="17" t="s">
        <v>246</v>
      </c>
      <c r="P97" s="17" t="s">
        <v>170</v>
      </c>
      <c r="Q97" s="17"/>
      <c r="R97" s="17"/>
      <c r="S97" s="17" t="s">
        <v>147</v>
      </c>
      <c r="T97" s="17" t="s">
        <v>169</v>
      </c>
      <c r="U97" s="17" t="s">
        <v>182</v>
      </c>
      <c r="V97" s="17"/>
      <c r="W97" s="17"/>
    </row>
    <row r="98" spans="1:23" x14ac:dyDescent="0.45">
      <c r="A98" s="17"/>
      <c r="B98" s="22">
        <v>46030</v>
      </c>
      <c r="C98" s="17">
        <v>151284649</v>
      </c>
      <c r="D98" s="26">
        <f>IFERROR(SUMIF(Servicios_Promotores!$B:$B,C98,Servicios_Promotores!$R:$R),0)</f>
        <v>0</v>
      </c>
      <c r="E98" s="26">
        <f>IFERROR(SUMIF(Pago_GERE!$B:$B,C98,Pago_GERE!$R:$R),0)</f>
        <v>0</v>
      </c>
      <c r="F98" s="26">
        <f>IFERROR(SUMIF(Hoja2!$H:$H,C98,Hoja2!$U:$U),0)</f>
        <v>0</v>
      </c>
      <c r="G98" s="17">
        <f>IFERROR(VLOOKUP(C98,Hoja3!$C:$D,2,FALSE),"")</f>
        <v>0</v>
      </c>
      <c r="H98" s="17"/>
      <c r="I98" s="17" t="s">
        <v>209</v>
      </c>
      <c r="J98" s="17" t="s">
        <v>165</v>
      </c>
      <c r="K98" s="17" t="s">
        <v>31</v>
      </c>
      <c r="L98" s="17">
        <v>10000064</v>
      </c>
      <c r="M98" s="17" t="s">
        <v>211</v>
      </c>
      <c r="N98" s="17">
        <v>151284649</v>
      </c>
      <c r="O98" s="17" t="s">
        <v>235</v>
      </c>
      <c r="P98" s="17" t="s">
        <v>179</v>
      </c>
      <c r="Q98" s="17"/>
      <c r="R98" s="17"/>
      <c r="S98" s="17" t="s">
        <v>147</v>
      </c>
      <c r="T98" s="17" t="s">
        <v>178</v>
      </c>
      <c r="U98" s="17" t="s">
        <v>153</v>
      </c>
      <c r="V98" s="17"/>
      <c r="W98" s="17"/>
    </row>
    <row r="99" spans="1:23" x14ac:dyDescent="0.45">
      <c r="A99" s="17"/>
      <c r="B99" s="22">
        <v>46024</v>
      </c>
      <c r="C99" s="17">
        <v>151273561</v>
      </c>
      <c r="D99" s="26">
        <f>IFERROR(SUMIF(Servicios_Promotores!$B:$B,C99,Servicios_Promotores!$R:$R),0)</f>
        <v>0</v>
      </c>
      <c r="E99" s="26">
        <f>IFERROR(SUMIF(Pago_GERE!$B:$B,C99,Pago_GERE!$R:$R),0)</f>
        <v>0</v>
      </c>
      <c r="F99" s="26">
        <f>IFERROR(SUMIF(Hoja2!$H:$H,C99,Hoja2!$U:$U),0)</f>
        <v>0</v>
      </c>
      <c r="G99" s="17">
        <f>IFERROR(VLOOKUP(C99,Hoja3!$C:$D,2,FALSE),"")</f>
        <v>0</v>
      </c>
      <c r="H99" s="17"/>
      <c r="I99" s="17" t="s">
        <v>152</v>
      </c>
      <c r="J99" s="17" t="s">
        <v>165</v>
      </c>
      <c r="K99" s="17" t="s">
        <v>39</v>
      </c>
      <c r="L99" s="17">
        <v>10000064</v>
      </c>
      <c r="M99" s="17" t="s">
        <v>211</v>
      </c>
      <c r="N99" s="17">
        <v>151273561</v>
      </c>
      <c r="O99" s="17" t="s">
        <v>234</v>
      </c>
      <c r="P99" s="17" t="s">
        <v>170</v>
      </c>
      <c r="Q99" s="17"/>
      <c r="R99" s="17"/>
      <c r="S99" s="17" t="s">
        <v>147</v>
      </c>
      <c r="T99" s="17" t="s">
        <v>169</v>
      </c>
      <c r="U99" s="17" t="s">
        <v>182</v>
      </c>
      <c r="V99" s="17"/>
      <c r="W99" s="17"/>
    </row>
    <row r="100" spans="1:23" x14ac:dyDescent="0.45">
      <c r="A100" s="17"/>
      <c r="B100" s="22">
        <v>46024</v>
      </c>
      <c r="C100" s="17">
        <v>151273531</v>
      </c>
      <c r="D100" s="26">
        <f>IFERROR(SUMIF(Servicios_Promotores!$B:$B,C100,Servicios_Promotores!$R:$R),0)</f>
        <v>0</v>
      </c>
      <c r="E100" s="26">
        <f>IFERROR(SUMIF(Pago_GERE!$B:$B,C100,Pago_GERE!$R:$R),0)</f>
        <v>0</v>
      </c>
      <c r="F100" s="26">
        <f>IFERROR(SUMIF(Hoja2!$H:$H,C100,Hoja2!$U:$U),0)</f>
        <v>0</v>
      </c>
      <c r="G100" s="17">
        <f>IFERROR(VLOOKUP(C100,Hoja3!$C:$D,2,FALSE),"")</f>
        <v>0</v>
      </c>
      <c r="H100" s="17"/>
      <c r="I100" s="17" t="s">
        <v>232</v>
      </c>
      <c r="J100" s="17" t="s">
        <v>165</v>
      </c>
      <c r="K100" s="17" t="s">
        <v>31</v>
      </c>
      <c r="L100" s="17">
        <v>10000064</v>
      </c>
      <c r="M100" s="17" t="s">
        <v>211</v>
      </c>
      <c r="N100" s="17">
        <v>151273531</v>
      </c>
      <c r="O100" s="17" t="s">
        <v>231</v>
      </c>
      <c r="P100" s="17" t="s">
        <v>179</v>
      </c>
      <c r="Q100" s="17"/>
      <c r="R100" s="17"/>
      <c r="S100" s="17" t="s">
        <v>147</v>
      </c>
      <c r="T100" s="17" t="s">
        <v>178</v>
      </c>
      <c r="U100" s="17" t="s">
        <v>182</v>
      </c>
      <c r="V100" s="17"/>
      <c r="W100" s="17"/>
    </row>
    <row r="101" spans="1:23" x14ac:dyDescent="0.45">
      <c r="A101" s="17" t="s">
        <v>1065</v>
      </c>
      <c r="B101" s="22">
        <v>46035</v>
      </c>
      <c r="C101" s="17">
        <v>151293771</v>
      </c>
      <c r="D101" s="26">
        <f>IFERROR(SUMIF(Servicios_Promotores!$B:$B,C101,Servicios_Promotores!$R:$R),0)</f>
        <v>0</v>
      </c>
      <c r="E101" s="26">
        <f>IFERROR(SUMIF(Pago_GERE!$B:$B,C101,Pago_GERE!$R:$R),0)</f>
        <v>0</v>
      </c>
      <c r="F101" s="26">
        <f>IFERROR(SUMIF(Hoja2!$H:$H,C101,Hoja2!$U:$U),0)</f>
        <v>0</v>
      </c>
      <c r="G101" s="17">
        <f>IFERROR(VLOOKUP(C101,Hoja3!$C:$D,2,FALSE),"")</f>
        <v>0</v>
      </c>
      <c r="H101" s="17"/>
      <c r="I101" s="17" t="s">
        <v>152</v>
      </c>
      <c r="J101" s="17" t="s">
        <v>151</v>
      </c>
      <c r="K101" s="17" t="s">
        <v>42</v>
      </c>
      <c r="L101" s="17">
        <v>10000064</v>
      </c>
      <c r="M101" s="17" t="s">
        <v>233</v>
      </c>
      <c r="N101" s="17">
        <v>21661273</v>
      </c>
      <c r="O101" s="17" t="s">
        <v>1066</v>
      </c>
      <c r="P101" s="17" t="s">
        <v>192</v>
      </c>
      <c r="Q101" s="17" t="s">
        <v>1064</v>
      </c>
      <c r="R101" s="17" t="s">
        <v>1066</v>
      </c>
      <c r="S101" s="17" t="s">
        <v>147</v>
      </c>
      <c r="T101" s="17" t="s">
        <v>146</v>
      </c>
      <c r="U101" s="17" t="s">
        <v>251</v>
      </c>
      <c r="V101" s="17"/>
      <c r="W101" s="17"/>
    </row>
    <row r="102" spans="1:23" x14ac:dyDescent="0.45">
      <c r="A102" s="17" t="s">
        <v>1065</v>
      </c>
      <c r="B102" s="22">
        <v>46032</v>
      </c>
      <c r="C102" s="17">
        <v>151288171</v>
      </c>
      <c r="D102" s="26">
        <f>IFERROR(SUMIF(Servicios_Promotores!$B:$B,C102,Servicios_Promotores!$R:$R),0)</f>
        <v>0</v>
      </c>
      <c r="E102" s="26">
        <f>IFERROR(SUMIF(Pago_GERE!$B:$B,C102,Pago_GERE!$R:$R),0)</f>
        <v>0</v>
      </c>
      <c r="F102" s="26">
        <f>IFERROR(SUMIF(Hoja2!$H:$H,C102,Hoja2!$U:$U),0)</f>
        <v>0</v>
      </c>
      <c r="G102" s="17">
        <f>IFERROR(VLOOKUP(C102,Hoja3!$C:$D,2,FALSE),"")</f>
        <v>0</v>
      </c>
      <c r="H102" s="17"/>
      <c r="I102" s="17" t="s">
        <v>197</v>
      </c>
      <c r="J102" s="17" t="s">
        <v>165</v>
      </c>
      <c r="K102" s="17" t="s">
        <v>55</v>
      </c>
      <c r="L102" s="17">
        <v>10000064</v>
      </c>
      <c r="M102" s="17" t="s">
        <v>233</v>
      </c>
      <c r="N102" s="17">
        <v>21574627</v>
      </c>
      <c r="O102" s="17" t="s">
        <v>1133</v>
      </c>
      <c r="P102" s="17" t="s">
        <v>534</v>
      </c>
      <c r="Q102" s="17" t="s">
        <v>1064</v>
      </c>
      <c r="R102" s="17" t="s">
        <v>1133</v>
      </c>
      <c r="S102" s="17" t="s">
        <v>147</v>
      </c>
      <c r="T102" s="17" t="s">
        <v>55</v>
      </c>
      <c r="U102" s="17" t="s">
        <v>251</v>
      </c>
      <c r="V102" s="17"/>
      <c r="W102" s="17"/>
    </row>
    <row r="103" spans="1:23" x14ac:dyDescent="0.45">
      <c r="A103" s="17" t="s">
        <v>1065</v>
      </c>
      <c r="B103" s="22">
        <v>46032</v>
      </c>
      <c r="C103" s="17">
        <v>151288057</v>
      </c>
      <c r="D103" s="26">
        <f>IFERROR(SUMIF(Servicios_Promotores!$B:$B,C103,Servicios_Promotores!$R:$R),0)</f>
        <v>0</v>
      </c>
      <c r="E103" s="26">
        <f>IFERROR(SUMIF(Pago_GERE!$B:$B,C103,Pago_GERE!$R:$R),0)</f>
        <v>0</v>
      </c>
      <c r="F103" s="26">
        <f>IFERROR(SUMIF(Hoja2!$H:$H,C103,Hoja2!$U:$U),0)</f>
        <v>0</v>
      </c>
      <c r="G103" s="17">
        <f>IFERROR(VLOOKUP(C103,Hoja3!$C:$D,2,FALSE),"")</f>
        <v>0</v>
      </c>
      <c r="H103" s="17"/>
      <c r="I103" s="17" t="s">
        <v>152</v>
      </c>
      <c r="J103" s="17" t="s">
        <v>151</v>
      </c>
      <c r="K103" s="17" t="s">
        <v>31</v>
      </c>
      <c r="L103" s="17">
        <v>10000064</v>
      </c>
      <c r="M103" s="17" t="s">
        <v>233</v>
      </c>
      <c r="N103" s="17">
        <v>21566028</v>
      </c>
      <c r="O103" s="17" t="s">
        <v>1066</v>
      </c>
      <c r="P103" s="17" t="s">
        <v>179</v>
      </c>
      <c r="Q103" s="17" t="s">
        <v>1064</v>
      </c>
      <c r="R103" s="17" t="s">
        <v>1066</v>
      </c>
      <c r="S103" s="17" t="s">
        <v>147</v>
      </c>
      <c r="T103" s="17" t="s">
        <v>178</v>
      </c>
      <c r="U103" s="17" t="s">
        <v>251</v>
      </c>
      <c r="V103" s="17" t="s">
        <v>210</v>
      </c>
      <c r="W103" s="17"/>
    </row>
    <row r="104" spans="1:23" x14ac:dyDescent="0.45">
      <c r="A104" s="17" t="s">
        <v>1065</v>
      </c>
      <c r="B104" s="22">
        <v>46031</v>
      </c>
      <c r="C104" s="17">
        <v>151286430</v>
      </c>
      <c r="D104" s="26">
        <f>IFERROR(SUMIF(Servicios_Promotores!$B:$B,C104,Servicios_Promotores!$R:$R),0)</f>
        <v>0</v>
      </c>
      <c r="E104" s="26">
        <f>IFERROR(SUMIF(Pago_GERE!$B:$B,C104,Pago_GERE!$R:$R),0)</f>
        <v>0</v>
      </c>
      <c r="F104" s="26">
        <f>IFERROR(SUMIF(Hoja2!$H:$H,C104,Hoja2!$U:$U),0)</f>
        <v>0</v>
      </c>
      <c r="G104" s="17">
        <f>IFERROR(VLOOKUP(C104,Hoja3!$C:$D,2,FALSE),"")</f>
        <v>0</v>
      </c>
      <c r="H104" s="17"/>
      <c r="I104" s="17" t="s">
        <v>152</v>
      </c>
      <c r="J104" s="17" t="s">
        <v>151</v>
      </c>
      <c r="K104" s="17" t="s">
        <v>42</v>
      </c>
      <c r="L104" s="17">
        <v>10000064</v>
      </c>
      <c r="M104" s="17" t="s">
        <v>233</v>
      </c>
      <c r="N104" s="17">
        <v>21562686</v>
      </c>
      <c r="O104" s="17" t="s">
        <v>1066</v>
      </c>
      <c r="P104" s="17" t="s">
        <v>148</v>
      </c>
      <c r="Q104" s="17" t="s">
        <v>1064</v>
      </c>
      <c r="R104" s="17" t="s">
        <v>1066</v>
      </c>
      <c r="S104" s="17" t="s">
        <v>147</v>
      </c>
      <c r="T104" s="17" t="s">
        <v>146</v>
      </c>
      <c r="U104" s="17" t="s">
        <v>251</v>
      </c>
      <c r="V104" s="17" t="s">
        <v>210</v>
      </c>
      <c r="W104" s="17"/>
    </row>
    <row r="105" spans="1:23" x14ac:dyDescent="0.45">
      <c r="A105" s="17" t="s">
        <v>254</v>
      </c>
      <c r="B105" s="22">
        <v>46036</v>
      </c>
      <c r="C105" s="17">
        <v>151295811</v>
      </c>
      <c r="D105" s="26">
        <f>IFERROR(SUMIF(Servicios_Promotores!$B:$B,C105,Servicios_Promotores!$R:$R),0)</f>
        <v>0</v>
      </c>
      <c r="E105" s="26">
        <f>IFERROR(SUMIF(Pago_GERE!$B:$B,C105,Pago_GERE!$R:$R),0)</f>
        <v>0</v>
      </c>
      <c r="F105" s="26">
        <f>IFERROR(SUMIF(Hoja2!$H:$H,C105,Hoja2!$U:$U),0)</f>
        <v>0</v>
      </c>
      <c r="G105" s="17">
        <f>IFERROR(VLOOKUP(C105,Hoja3!$C:$D,2,FALSE),"")</f>
        <v>0</v>
      </c>
      <c r="H105" s="22">
        <v>46043</v>
      </c>
      <c r="I105" s="17" t="s">
        <v>152</v>
      </c>
      <c r="J105" s="17" t="s">
        <v>151</v>
      </c>
      <c r="K105" s="17" t="s">
        <v>45</v>
      </c>
      <c r="L105" s="17">
        <v>10000064</v>
      </c>
      <c r="M105" s="17" t="s">
        <v>233</v>
      </c>
      <c r="N105" s="17">
        <v>21716090</v>
      </c>
      <c r="O105" s="17" t="s">
        <v>962</v>
      </c>
      <c r="P105" s="17" t="s">
        <v>963</v>
      </c>
      <c r="Q105" s="17" t="s">
        <v>253</v>
      </c>
      <c r="R105" s="17" t="s">
        <v>962</v>
      </c>
      <c r="S105" s="17" t="s">
        <v>147</v>
      </c>
      <c r="T105" s="17" t="s">
        <v>961</v>
      </c>
      <c r="U105" s="17" t="s">
        <v>251</v>
      </c>
      <c r="V105" s="17" t="s">
        <v>960</v>
      </c>
      <c r="W105" s="17" t="s">
        <v>959</v>
      </c>
    </row>
    <row r="106" spans="1:23" x14ac:dyDescent="0.45">
      <c r="A106" s="17" t="s">
        <v>254</v>
      </c>
      <c r="B106" s="22">
        <v>46030</v>
      </c>
      <c r="C106" s="17">
        <v>151284623</v>
      </c>
      <c r="D106" s="26">
        <f>IFERROR(SUMIF(Servicios_Promotores!$B:$B,C106,Servicios_Promotores!$R:$R),0)</f>
        <v>0</v>
      </c>
      <c r="E106" s="26">
        <f>IFERROR(SUMIF(Pago_GERE!$B:$B,C106,Pago_GERE!$R:$R),0)</f>
        <v>0</v>
      </c>
      <c r="F106" s="26">
        <f>IFERROR(SUMIF(Hoja2!$H:$H,C106,Hoja2!$U:$U),0)</f>
        <v>0</v>
      </c>
      <c r="G106" s="17">
        <f>IFERROR(VLOOKUP(C106,Hoja3!$C:$D,2,FALSE),"")</f>
        <v>0</v>
      </c>
      <c r="H106" s="22">
        <v>46038</v>
      </c>
      <c r="I106" s="17" t="s">
        <v>152</v>
      </c>
      <c r="J106" s="17" t="s">
        <v>165</v>
      </c>
      <c r="K106" s="17" t="s">
        <v>31</v>
      </c>
      <c r="L106" s="17">
        <v>10000064</v>
      </c>
      <c r="M106" s="17" t="s">
        <v>233</v>
      </c>
      <c r="N106" s="17">
        <v>21725589</v>
      </c>
      <c r="O106" s="17" t="s">
        <v>910</v>
      </c>
      <c r="P106" s="17" t="s">
        <v>179</v>
      </c>
      <c r="Q106" s="17" t="s">
        <v>253</v>
      </c>
      <c r="R106" s="17" t="s">
        <v>910</v>
      </c>
      <c r="S106" s="17" t="s">
        <v>147</v>
      </c>
      <c r="T106" s="17" t="s">
        <v>178</v>
      </c>
      <c r="U106" s="17" t="s">
        <v>251</v>
      </c>
      <c r="V106" s="17" t="s">
        <v>909</v>
      </c>
      <c r="W106" s="17" t="s">
        <v>175</v>
      </c>
    </row>
    <row r="107" spans="1:23" x14ac:dyDescent="0.45">
      <c r="A107" s="17" t="s">
        <v>254</v>
      </c>
      <c r="B107" s="22">
        <v>46025</v>
      </c>
      <c r="C107" s="17">
        <v>151274645</v>
      </c>
      <c r="D107" s="26">
        <f>IFERROR(SUMIF(Servicios_Promotores!$B:$B,C107,Servicios_Promotores!$R:$R),0)</f>
        <v>0</v>
      </c>
      <c r="E107" s="26">
        <f>IFERROR(SUMIF(Pago_GERE!$B:$B,C107,Pago_GERE!$R:$R),0)</f>
        <v>0</v>
      </c>
      <c r="F107" s="26">
        <f>IFERROR(SUMIF(Hoja2!$H:$H,C107,Hoja2!$U:$U),0)</f>
        <v>0</v>
      </c>
      <c r="G107" s="17">
        <f>IFERROR(VLOOKUP(C107,Hoja3!$C:$D,2,FALSE),"")</f>
        <v>0</v>
      </c>
      <c r="H107" s="22">
        <v>46029</v>
      </c>
      <c r="I107" s="17" t="s">
        <v>163</v>
      </c>
      <c r="J107" s="17" t="s">
        <v>151</v>
      </c>
      <c r="K107" s="17" t="s">
        <v>42</v>
      </c>
      <c r="L107" s="17">
        <v>10000064</v>
      </c>
      <c r="M107" s="17" t="s">
        <v>233</v>
      </c>
      <c r="N107" s="17">
        <v>21396940</v>
      </c>
      <c r="O107" s="17" t="s">
        <v>882</v>
      </c>
      <c r="P107" s="17" t="s">
        <v>224</v>
      </c>
      <c r="Q107" s="17" t="s">
        <v>253</v>
      </c>
      <c r="R107" s="17" t="s">
        <v>882</v>
      </c>
      <c r="S107" s="17" t="s">
        <v>147</v>
      </c>
      <c r="T107" s="17" t="s">
        <v>223</v>
      </c>
      <c r="U107" s="17" t="s">
        <v>251</v>
      </c>
      <c r="V107" s="17" t="s">
        <v>829</v>
      </c>
      <c r="W107" s="17" t="s">
        <v>409</v>
      </c>
    </row>
    <row r="108" spans="1:23" x14ac:dyDescent="0.45">
      <c r="A108" s="17"/>
      <c r="B108" s="22">
        <v>46028</v>
      </c>
      <c r="C108" s="17">
        <v>151279326</v>
      </c>
      <c r="D108" s="26">
        <f>IFERROR(SUMIF(Servicios_Promotores!$B:$B,C108,Servicios_Promotores!$R:$R),0)</f>
        <v>0</v>
      </c>
      <c r="E108" s="26">
        <f>IFERROR(SUMIF(Pago_GERE!$B:$B,C108,Pago_GERE!$R:$R),0)</f>
        <v>0</v>
      </c>
      <c r="F108" s="26">
        <f>IFERROR(SUMIF(Hoja2!$H:$H,C108,Hoja2!$U:$U),0)</f>
        <v>0</v>
      </c>
      <c r="G108" s="17">
        <f>IFERROR(VLOOKUP(C108,Hoja3!$C:$D,2,FALSE),"")</f>
        <v>0</v>
      </c>
      <c r="H108" s="17"/>
      <c r="I108" s="17" t="s">
        <v>152</v>
      </c>
      <c r="J108" s="17" t="s">
        <v>151</v>
      </c>
      <c r="K108" s="17" t="s">
        <v>42</v>
      </c>
      <c r="L108" s="17">
        <v>10000064</v>
      </c>
      <c r="M108" s="17" t="s">
        <v>233</v>
      </c>
      <c r="N108" s="17">
        <v>151279326</v>
      </c>
      <c r="O108" s="17"/>
      <c r="P108" s="17" t="s">
        <v>148</v>
      </c>
      <c r="Q108" s="17"/>
      <c r="R108" s="17"/>
      <c r="S108" s="17" t="s">
        <v>147</v>
      </c>
      <c r="T108" s="17" t="s">
        <v>146</v>
      </c>
      <c r="U108" s="17" t="s">
        <v>177</v>
      </c>
      <c r="V108" s="17" t="s">
        <v>210</v>
      </c>
      <c r="W108" s="17"/>
    </row>
    <row r="109" spans="1:23" x14ac:dyDescent="0.45">
      <c r="A109" s="17"/>
      <c r="B109" s="22">
        <v>46024</v>
      </c>
      <c r="C109" s="17">
        <v>151273424</v>
      </c>
      <c r="D109" s="26">
        <f>IFERROR(SUMIF(Servicios_Promotores!$B:$B,C109,Servicios_Promotores!$R:$R),0)</f>
        <v>0</v>
      </c>
      <c r="E109" s="26">
        <f>IFERROR(SUMIF(Pago_GERE!$B:$B,C109,Pago_GERE!$R:$R),0)</f>
        <v>0</v>
      </c>
      <c r="F109" s="26">
        <f>IFERROR(SUMIF(Hoja2!$H:$H,C109,Hoja2!$U:$U),0)</f>
        <v>0</v>
      </c>
      <c r="G109" s="17">
        <f>IFERROR(VLOOKUP(C109,Hoja3!$C:$D,2,FALSE),"")</f>
        <v>0</v>
      </c>
      <c r="H109" s="17"/>
      <c r="I109" s="17" t="s">
        <v>209</v>
      </c>
      <c r="J109" s="17" t="s">
        <v>151</v>
      </c>
      <c r="K109" s="17" t="s">
        <v>31</v>
      </c>
      <c r="L109" s="17">
        <v>10000064</v>
      </c>
      <c r="M109" s="17" t="s">
        <v>233</v>
      </c>
      <c r="N109" s="17">
        <v>151273424</v>
      </c>
      <c r="O109" s="17"/>
      <c r="P109" s="17" t="s">
        <v>179</v>
      </c>
      <c r="Q109" s="17"/>
      <c r="R109" s="17"/>
      <c r="S109" s="17" t="s">
        <v>147</v>
      </c>
      <c r="T109" s="17" t="s">
        <v>178</v>
      </c>
      <c r="U109" s="17" t="s">
        <v>182</v>
      </c>
      <c r="V109" s="17" t="s">
        <v>210</v>
      </c>
      <c r="W109" s="17"/>
    </row>
    <row r="110" spans="1:23" x14ac:dyDescent="0.45">
      <c r="A110" s="17" t="s">
        <v>1065</v>
      </c>
      <c r="B110" s="22">
        <v>46087</v>
      </c>
      <c r="C110" s="17">
        <v>151390786</v>
      </c>
      <c r="D110" s="26">
        <f>IFERROR(SUMIF(Servicios_Promotores!$B:$B,C110,Servicios_Promotores!$R:$R),0)</f>
        <v>0</v>
      </c>
      <c r="E110" s="26">
        <f>IFERROR(SUMIF(Pago_GERE!$B:$B,C110,Pago_GERE!$R:$R),0)</f>
        <v>0</v>
      </c>
      <c r="F110" s="26">
        <f>IFERROR(SUMIF(Hoja2!$H:$H,C110,Hoja2!$U:$U),0)</f>
        <v>0</v>
      </c>
      <c r="G110" s="17">
        <f>IFERROR(VLOOKUP(C110,Hoja3!$C:$D,2,FALSE),"")</f>
        <v>0</v>
      </c>
      <c r="H110" s="17"/>
      <c r="I110" s="17" t="s">
        <v>158</v>
      </c>
      <c r="J110" s="17" t="s">
        <v>151</v>
      </c>
      <c r="K110" s="17" t="s">
        <v>42</v>
      </c>
      <c r="L110" s="17">
        <v>10001013</v>
      </c>
      <c r="M110" s="17" t="s">
        <v>196</v>
      </c>
      <c r="N110" s="17">
        <v>22831357</v>
      </c>
      <c r="O110" s="17" t="s">
        <v>1066</v>
      </c>
      <c r="P110" s="17" t="s">
        <v>148</v>
      </c>
      <c r="Q110" s="17" t="s">
        <v>1064</v>
      </c>
      <c r="R110" s="17" t="s">
        <v>1066</v>
      </c>
      <c r="S110" s="17" t="s">
        <v>155</v>
      </c>
      <c r="T110" s="17" t="s">
        <v>146</v>
      </c>
      <c r="U110" s="17" t="s">
        <v>251</v>
      </c>
      <c r="V110" s="17"/>
      <c r="W110" s="17"/>
    </row>
    <row r="111" spans="1:23" x14ac:dyDescent="0.45">
      <c r="A111" s="17" t="s">
        <v>1065</v>
      </c>
      <c r="B111" s="22">
        <v>46086</v>
      </c>
      <c r="C111" s="17">
        <v>151388788</v>
      </c>
      <c r="D111" s="26">
        <f>IFERROR(SUMIF(Servicios_Promotores!$B:$B,C111,Servicios_Promotores!$R:$R),0)</f>
        <v>0</v>
      </c>
      <c r="E111" s="26">
        <f>IFERROR(SUMIF(Pago_GERE!$B:$B,C111,Pago_GERE!$R:$R),0)</f>
        <v>0</v>
      </c>
      <c r="F111" s="26">
        <f>IFERROR(SUMIF(Hoja2!$H:$H,C111,Hoja2!$U:$U),0)</f>
        <v>0</v>
      </c>
      <c r="G111" s="17">
        <f>IFERROR(VLOOKUP(C111,Hoja3!$C:$D,2,FALSE),"")</f>
        <v>0</v>
      </c>
      <c r="H111" s="17"/>
      <c r="I111" s="17" t="s">
        <v>551</v>
      </c>
      <c r="J111" s="17" t="s">
        <v>151</v>
      </c>
      <c r="K111" s="17" t="s">
        <v>31</v>
      </c>
      <c r="L111" s="17">
        <v>10001013</v>
      </c>
      <c r="M111" s="17" t="s">
        <v>196</v>
      </c>
      <c r="N111" s="17">
        <v>22804398</v>
      </c>
      <c r="O111" s="17" t="s">
        <v>1101</v>
      </c>
      <c r="P111" s="17" t="s">
        <v>179</v>
      </c>
      <c r="Q111" s="17" t="s">
        <v>1102</v>
      </c>
      <c r="R111" s="17" t="s">
        <v>1101</v>
      </c>
      <c r="S111" s="17" t="s">
        <v>147</v>
      </c>
      <c r="T111" s="17" t="s">
        <v>178</v>
      </c>
      <c r="U111" s="17" t="s">
        <v>251</v>
      </c>
      <c r="V111" s="17"/>
      <c r="W111" s="17"/>
    </row>
    <row r="112" spans="1:23" x14ac:dyDescent="0.45">
      <c r="A112" s="17" t="s">
        <v>254</v>
      </c>
      <c r="B112" s="22">
        <v>46079</v>
      </c>
      <c r="C112" s="17">
        <v>151375639</v>
      </c>
      <c r="D112" s="26">
        <f>IFERROR(SUMIF(Servicios_Promotores!$B:$B,C112,Servicios_Promotores!$R:$R),0)</f>
        <v>99.999999996</v>
      </c>
      <c r="E112" s="26">
        <f>IFERROR(SUMIF(Pago_GERE!$B:$B,C112,Pago_GERE!$R:$R),0)</f>
        <v>49.999999998</v>
      </c>
      <c r="F112" s="26">
        <f>IFERROR(SUMIF(Hoja2!$H:$H,C112,Hoja2!$U:$U),0)</f>
        <v>0</v>
      </c>
      <c r="G112" s="17">
        <f>IFERROR(VLOOKUP(C112,Hoja3!$C:$D,2,FALSE),"")</f>
        <v>0</v>
      </c>
      <c r="H112" s="22">
        <v>46080</v>
      </c>
      <c r="I112" s="17" t="s">
        <v>163</v>
      </c>
      <c r="J112" s="17" t="s">
        <v>151</v>
      </c>
      <c r="K112" s="17" t="s">
        <v>31</v>
      </c>
      <c r="L112" s="17">
        <v>10001013</v>
      </c>
      <c r="M112" s="17" t="s">
        <v>196</v>
      </c>
      <c r="N112" s="17">
        <v>22623094</v>
      </c>
      <c r="O112" s="17" t="s">
        <v>845</v>
      </c>
      <c r="P112" s="17" t="s">
        <v>179</v>
      </c>
      <c r="Q112" s="17" t="s">
        <v>253</v>
      </c>
      <c r="R112" s="17" t="s">
        <v>845</v>
      </c>
      <c r="S112" s="17" t="s">
        <v>147</v>
      </c>
      <c r="T112" s="17" t="s">
        <v>178</v>
      </c>
      <c r="U112" s="17" t="s">
        <v>251</v>
      </c>
      <c r="V112" s="17" t="s">
        <v>844</v>
      </c>
      <c r="W112" s="17" t="s">
        <v>447</v>
      </c>
    </row>
    <row r="113" spans="1:23" x14ac:dyDescent="0.45">
      <c r="A113" s="17"/>
      <c r="B113" s="22">
        <v>46087</v>
      </c>
      <c r="C113" s="17">
        <v>151390660</v>
      </c>
      <c r="D113" s="26">
        <f>IFERROR(SUMIF(Servicios_Promotores!$B:$B,C113,Servicios_Promotores!$R:$R),0)</f>
        <v>0</v>
      </c>
      <c r="E113" s="26">
        <f>IFERROR(SUMIF(Pago_GERE!$B:$B,C113,Pago_GERE!$R:$R),0)</f>
        <v>0</v>
      </c>
      <c r="F113" s="26">
        <f>IFERROR(SUMIF(Hoja2!$H:$H,C113,Hoja2!$U:$U),0)</f>
        <v>0</v>
      </c>
      <c r="G113" s="17">
        <f>IFERROR(VLOOKUP(C113,Hoja3!$C:$D,2,FALSE),"")</f>
        <v>0</v>
      </c>
      <c r="H113" s="17"/>
      <c r="I113" s="17" t="s">
        <v>197</v>
      </c>
      <c r="J113" s="17" t="s">
        <v>165</v>
      </c>
      <c r="K113" s="17" t="s">
        <v>42</v>
      </c>
      <c r="L113" s="17">
        <v>10001013</v>
      </c>
      <c r="M113" s="17" t="s">
        <v>196</v>
      </c>
      <c r="N113" s="17">
        <v>151390660</v>
      </c>
      <c r="O113" s="17" t="s">
        <v>195</v>
      </c>
      <c r="P113" s="17" t="s">
        <v>148</v>
      </c>
      <c r="Q113" s="17"/>
      <c r="R113" s="17"/>
      <c r="S113" s="17" t="s">
        <v>147</v>
      </c>
      <c r="T113" s="17" t="s">
        <v>146</v>
      </c>
      <c r="U113" s="17" t="s">
        <v>177</v>
      </c>
      <c r="V113" s="17"/>
      <c r="W113" s="17"/>
    </row>
    <row r="114" spans="1:23" x14ac:dyDescent="0.45">
      <c r="A114" s="17" t="s">
        <v>1065</v>
      </c>
      <c r="B114" s="22">
        <v>46079</v>
      </c>
      <c r="C114" s="17">
        <v>151375674</v>
      </c>
      <c r="D114" s="26">
        <f>IFERROR(SUMIF(Servicios_Promotores!$B:$B,C114,Servicios_Promotores!$R:$R),0)</f>
        <v>0</v>
      </c>
      <c r="E114" s="26">
        <f>IFERROR(SUMIF(Pago_GERE!$B:$B,C114,Pago_GERE!$R:$R),0)</f>
        <v>0</v>
      </c>
      <c r="F114" s="26">
        <f>IFERROR(SUMIF(Hoja2!$H:$H,C114,Hoja2!$U:$U),0)</f>
        <v>0</v>
      </c>
      <c r="G114" s="17">
        <f>IFERROR(VLOOKUP(C114,Hoja3!$C:$D,2,FALSE),"")</f>
        <v>0</v>
      </c>
      <c r="H114" s="17"/>
      <c r="I114" s="17" t="s">
        <v>152</v>
      </c>
      <c r="J114" s="17" t="s">
        <v>151</v>
      </c>
      <c r="K114" s="17" t="s">
        <v>55</v>
      </c>
      <c r="L114" s="17">
        <v>10000064</v>
      </c>
      <c r="M114" s="17" t="s">
        <v>193</v>
      </c>
      <c r="N114" s="17">
        <v>22621880</v>
      </c>
      <c r="O114" s="17" t="s">
        <v>1066</v>
      </c>
      <c r="P114" s="17" t="s">
        <v>534</v>
      </c>
      <c r="Q114" s="17" t="s">
        <v>1064</v>
      </c>
      <c r="R114" s="17" t="s">
        <v>1066</v>
      </c>
      <c r="S114" s="17" t="s">
        <v>147</v>
      </c>
      <c r="T114" s="17" t="s">
        <v>55</v>
      </c>
      <c r="U114" s="17" t="s">
        <v>251</v>
      </c>
      <c r="V114" s="17"/>
      <c r="W114" s="17"/>
    </row>
    <row r="115" spans="1:23" x14ac:dyDescent="0.45">
      <c r="A115" s="17" t="s">
        <v>1065</v>
      </c>
      <c r="B115" s="22">
        <v>46079</v>
      </c>
      <c r="C115" s="17">
        <v>151375605</v>
      </c>
      <c r="D115" s="26">
        <f>IFERROR(SUMIF(Servicios_Promotores!$B:$B,C115,Servicios_Promotores!$R:$R),0)</f>
        <v>0</v>
      </c>
      <c r="E115" s="26">
        <f>IFERROR(SUMIF(Pago_GERE!$B:$B,C115,Pago_GERE!$R:$R),0)</f>
        <v>0</v>
      </c>
      <c r="F115" s="26">
        <f>IFERROR(SUMIF(Hoja2!$H:$H,C115,Hoja2!$U:$U),0)</f>
        <v>0</v>
      </c>
      <c r="G115" s="17">
        <f>IFERROR(VLOOKUP(C115,Hoja3!$C:$D,2,FALSE),"")</f>
        <v>0</v>
      </c>
      <c r="H115" s="17"/>
      <c r="I115" s="17" t="s">
        <v>163</v>
      </c>
      <c r="J115" s="17" t="s">
        <v>151</v>
      </c>
      <c r="K115" s="17" t="s">
        <v>55</v>
      </c>
      <c r="L115" s="17">
        <v>10000064</v>
      </c>
      <c r="M115" s="17" t="s">
        <v>193</v>
      </c>
      <c r="N115" s="17">
        <v>22621818</v>
      </c>
      <c r="O115" s="17" t="s">
        <v>1066</v>
      </c>
      <c r="P115" s="17" t="s">
        <v>534</v>
      </c>
      <c r="Q115" s="17" t="s">
        <v>1064</v>
      </c>
      <c r="R115" s="17" t="s">
        <v>1066</v>
      </c>
      <c r="S115" s="17" t="s">
        <v>147</v>
      </c>
      <c r="T115" s="17" t="s">
        <v>55</v>
      </c>
      <c r="U115" s="17" t="s">
        <v>251</v>
      </c>
      <c r="V115" s="17"/>
      <c r="W115" s="17"/>
    </row>
    <row r="116" spans="1:23" x14ac:dyDescent="0.45">
      <c r="A116" s="17" t="s">
        <v>1065</v>
      </c>
      <c r="B116" s="22">
        <v>46091</v>
      </c>
      <c r="C116" s="17">
        <v>151396879</v>
      </c>
      <c r="D116" s="26">
        <f>IFERROR(SUMIF(Servicios_Promotores!$B:$B,C116,Servicios_Promotores!$R:$R),0)</f>
        <v>0</v>
      </c>
      <c r="E116" s="26">
        <f>IFERROR(SUMIF(Pago_GERE!$B:$B,C116,Pago_GERE!$R:$R),0)</f>
        <v>0</v>
      </c>
      <c r="F116" s="26">
        <f>IFERROR(SUMIF(Hoja2!$H:$H,C116,Hoja2!$U:$U),0)</f>
        <v>0</v>
      </c>
      <c r="G116" s="17">
        <f>IFERROR(VLOOKUP(C116,Hoja3!$C:$D,2,FALSE),"")</f>
        <v>0</v>
      </c>
      <c r="H116" s="17"/>
      <c r="I116" s="17" t="s">
        <v>152</v>
      </c>
      <c r="J116" s="17" t="s">
        <v>165</v>
      </c>
      <c r="K116" s="17" t="s">
        <v>42</v>
      </c>
      <c r="L116" s="17">
        <v>10000064</v>
      </c>
      <c r="M116" s="17" t="s">
        <v>193</v>
      </c>
      <c r="N116" s="17">
        <v>22931148</v>
      </c>
      <c r="O116" s="17" t="s">
        <v>1104</v>
      </c>
      <c r="P116" s="17" t="s">
        <v>148</v>
      </c>
      <c r="Q116" s="17" t="s">
        <v>1064</v>
      </c>
      <c r="R116" s="17" t="s">
        <v>1104</v>
      </c>
      <c r="S116" s="17" t="s">
        <v>147</v>
      </c>
      <c r="T116" s="17" t="s">
        <v>146</v>
      </c>
      <c r="U116" s="17" t="s">
        <v>251</v>
      </c>
      <c r="V116" s="17"/>
      <c r="W116" s="17"/>
    </row>
    <row r="117" spans="1:23" x14ac:dyDescent="0.45">
      <c r="A117" s="17"/>
      <c r="B117" s="22">
        <v>46087</v>
      </c>
      <c r="C117" s="17">
        <v>151391043</v>
      </c>
      <c r="D117" s="26">
        <f>IFERROR(SUMIF(Servicios_Promotores!$B:$B,C117,Servicios_Promotores!$R:$R),0)</f>
        <v>0</v>
      </c>
      <c r="E117" s="26">
        <f>IFERROR(SUMIF(Pago_GERE!$B:$B,C117,Pago_GERE!$R:$R),0)</f>
        <v>0</v>
      </c>
      <c r="F117" s="26">
        <f>IFERROR(SUMIF(Hoja2!$H:$H,C117,Hoja2!$U:$U),0)</f>
        <v>0</v>
      </c>
      <c r="G117" s="17">
        <f>IFERROR(VLOOKUP(C117,Hoja3!$C:$D,2,FALSE),"")</f>
        <v>0</v>
      </c>
      <c r="H117" s="17"/>
      <c r="I117" s="17" t="s">
        <v>194</v>
      </c>
      <c r="J117" s="17" t="s">
        <v>151</v>
      </c>
      <c r="K117" s="17" t="s">
        <v>42</v>
      </c>
      <c r="L117" s="17">
        <v>10000064</v>
      </c>
      <c r="M117" s="17" t="s">
        <v>193</v>
      </c>
      <c r="N117" s="17">
        <v>151391043</v>
      </c>
      <c r="O117" s="17"/>
      <c r="P117" s="17" t="s">
        <v>192</v>
      </c>
      <c r="Q117" s="17"/>
      <c r="R117" s="17"/>
      <c r="S117" s="17" t="s">
        <v>147</v>
      </c>
      <c r="T117" s="17" t="s">
        <v>146</v>
      </c>
      <c r="U117" s="17" t="s">
        <v>177</v>
      </c>
      <c r="V117" s="17"/>
      <c r="W117" s="17"/>
    </row>
    <row r="118" spans="1:23" x14ac:dyDescent="0.45">
      <c r="A118" s="17" t="s">
        <v>1065</v>
      </c>
      <c r="B118" s="22">
        <v>46100</v>
      </c>
      <c r="C118" s="17">
        <v>151413973</v>
      </c>
      <c r="D118" s="26">
        <f>IFERROR(SUMIF(Servicios_Promotores!$B:$B,C118,Servicios_Promotores!$R:$R),0)</f>
        <v>0</v>
      </c>
      <c r="E118" s="26">
        <f>IFERROR(SUMIF(Pago_GERE!$B:$B,C118,Pago_GERE!$R:$R),0)</f>
        <v>0</v>
      </c>
      <c r="F118" s="26">
        <f>IFERROR(SUMIF(Hoja2!$H:$H,C118,Hoja2!$U:$U),0)</f>
        <v>0</v>
      </c>
      <c r="G118" s="17">
        <f>IFERROR(VLOOKUP(C118,Hoja3!$C:$D,2,FALSE),"")</f>
        <v>0</v>
      </c>
      <c r="H118" s="17"/>
      <c r="I118" s="17" t="s">
        <v>152</v>
      </c>
      <c r="J118" s="17" t="s">
        <v>151</v>
      </c>
      <c r="K118" s="17" t="s">
        <v>39</v>
      </c>
      <c r="L118" s="17">
        <v>10001013</v>
      </c>
      <c r="M118" s="17" t="s">
        <v>205</v>
      </c>
      <c r="N118" s="17">
        <v>23445788</v>
      </c>
      <c r="O118" s="17" t="s">
        <v>1066</v>
      </c>
      <c r="P118" s="17" t="s">
        <v>170</v>
      </c>
      <c r="Q118" s="17" t="s">
        <v>1064</v>
      </c>
      <c r="R118" s="17" t="s">
        <v>1066</v>
      </c>
      <c r="S118" s="17" t="s">
        <v>147</v>
      </c>
      <c r="T118" s="17" t="s">
        <v>169</v>
      </c>
      <c r="U118" s="17" t="s">
        <v>251</v>
      </c>
      <c r="V118" s="17"/>
      <c r="W118" s="17"/>
    </row>
    <row r="119" spans="1:23" x14ac:dyDescent="0.45">
      <c r="A119" s="17" t="s">
        <v>1065</v>
      </c>
      <c r="B119" s="22">
        <v>46099</v>
      </c>
      <c r="C119" s="17">
        <v>151409778</v>
      </c>
      <c r="D119" s="26">
        <f>IFERROR(SUMIF(Servicios_Promotores!$B:$B,C119,Servicios_Promotores!$R:$R),0)</f>
        <v>0</v>
      </c>
      <c r="E119" s="26">
        <f>IFERROR(SUMIF(Pago_GERE!$B:$B,C119,Pago_GERE!$R:$R),0)</f>
        <v>0</v>
      </c>
      <c r="F119" s="26">
        <f>IFERROR(SUMIF(Hoja2!$H:$H,C119,Hoja2!$U:$U),0)</f>
        <v>0</v>
      </c>
      <c r="G119" s="17">
        <f>IFERROR(VLOOKUP(C119,Hoja3!$C:$D,2,FALSE),"")</f>
        <v>0</v>
      </c>
      <c r="H119" s="17"/>
      <c r="I119" s="17" t="s">
        <v>152</v>
      </c>
      <c r="J119" s="17" t="s">
        <v>165</v>
      </c>
      <c r="K119" s="17" t="s">
        <v>39</v>
      </c>
      <c r="L119" s="17">
        <v>10001013</v>
      </c>
      <c r="M119" s="17" t="s">
        <v>205</v>
      </c>
      <c r="N119" s="17">
        <v>23332299</v>
      </c>
      <c r="O119" s="17" t="s">
        <v>1105</v>
      </c>
      <c r="P119" s="17" t="s">
        <v>160</v>
      </c>
      <c r="Q119" s="17" t="s">
        <v>1064</v>
      </c>
      <c r="R119" s="17" t="s">
        <v>1105</v>
      </c>
      <c r="S119" s="17" t="s">
        <v>147</v>
      </c>
      <c r="T119" s="17" t="s">
        <v>159</v>
      </c>
      <c r="U119" s="17" t="s">
        <v>251</v>
      </c>
      <c r="V119" s="17"/>
      <c r="W119" s="17"/>
    </row>
    <row r="120" spans="1:23" x14ac:dyDescent="0.45">
      <c r="A120" s="17" t="s">
        <v>1065</v>
      </c>
      <c r="B120" s="22">
        <v>46085</v>
      </c>
      <c r="C120" s="17">
        <v>151386830</v>
      </c>
      <c r="D120" s="26">
        <f>IFERROR(SUMIF(Servicios_Promotores!$B:$B,C120,Servicios_Promotores!$R:$R),0)</f>
        <v>0</v>
      </c>
      <c r="E120" s="26">
        <f>IFERROR(SUMIF(Pago_GERE!$B:$B,C120,Pago_GERE!$R:$R),0)</f>
        <v>0</v>
      </c>
      <c r="F120" s="26">
        <f>IFERROR(SUMIF(Hoja2!$H:$H,C120,Hoja2!$U:$U),0)</f>
        <v>0</v>
      </c>
      <c r="G120" s="17">
        <f>IFERROR(VLOOKUP(C120,Hoja3!$C:$D,2,FALSE),"")</f>
        <v>0</v>
      </c>
      <c r="H120" s="17"/>
      <c r="I120" s="17" t="s">
        <v>163</v>
      </c>
      <c r="J120" s="17" t="s">
        <v>151</v>
      </c>
      <c r="K120" s="17" t="s">
        <v>31</v>
      </c>
      <c r="L120" s="17">
        <v>10000064</v>
      </c>
      <c r="M120" s="17" t="s">
        <v>199</v>
      </c>
      <c r="N120" s="17">
        <v>22781963</v>
      </c>
      <c r="O120" s="17" t="s">
        <v>1066</v>
      </c>
      <c r="P120" s="17" t="s">
        <v>179</v>
      </c>
      <c r="Q120" s="17" t="s">
        <v>1064</v>
      </c>
      <c r="R120" s="17" t="s">
        <v>1066</v>
      </c>
      <c r="S120" s="17" t="s">
        <v>147</v>
      </c>
      <c r="T120" s="17" t="s">
        <v>178</v>
      </c>
      <c r="U120" s="17" t="s">
        <v>251</v>
      </c>
      <c r="V120" s="17"/>
      <c r="W120" s="17"/>
    </row>
    <row r="121" spans="1:23" x14ac:dyDescent="0.45">
      <c r="A121" s="17"/>
      <c r="B121" s="22">
        <v>46092</v>
      </c>
      <c r="C121" s="17">
        <v>151399009</v>
      </c>
      <c r="D121" s="26">
        <f>IFERROR(SUMIF(Servicios_Promotores!$B:$B,C121,Servicios_Promotores!$R:$R),0)</f>
        <v>0</v>
      </c>
      <c r="E121" s="26">
        <f>IFERROR(SUMIF(Pago_GERE!$B:$B,C121,Pago_GERE!$R:$R),0)</f>
        <v>0</v>
      </c>
      <c r="F121" s="26">
        <f>IFERROR(SUMIF(Hoja2!$H:$H,C121,Hoja2!$U:$U),0)</f>
        <v>0</v>
      </c>
      <c r="G121" s="17">
        <f>IFERROR(VLOOKUP(C121,Hoja3!$C:$D,2,FALSE),"")</f>
        <v>0</v>
      </c>
      <c r="H121" s="17"/>
      <c r="I121" s="17" t="s">
        <v>204</v>
      </c>
      <c r="J121" s="17" t="s">
        <v>165</v>
      </c>
      <c r="K121" s="17" t="s">
        <v>61</v>
      </c>
      <c r="L121" s="17">
        <v>10000064</v>
      </c>
      <c r="M121" s="17" t="s">
        <v>199</v>
      </c>
      <c r="N121" s="17">
        <v>151399009</v>
      </c>
      <c r="O121" s="17" t="s">
        <v>203</v>
      </c>
      <c r="P121" s="17" t="s">
        <v>202</v>
      </c>
      <c r="Q121" s="17"/>
      <c r="R121" s="17"/>
      <c r="S121" s="17" t="s">
        <v>155</v>
      </c>
      <c r="T121" s="17" t="s">
        <v>201</v>
      </c>
      <c r="U121" s="17" t="s">
        <v>172</v>
      </c>
      <c r="V121" s="17"/>
      <c r="W121" s="17"/>
    </row>
    <row r="122" spans="1:23" x14ac:dyDescent="0.45">
      <c r="A122" s="17"/>
      <c r="B122" s="22">
        <v>46087</v>
      </c>
      <c r="C122" s="17">
        <v>151390558</v>
      </c>
      <c r="D122" s="26">
        <f>IFERROR(SUMIF(Servicios_Promotores!$B:$B,C122,Servicios_Promotores!$R:$R),0)</f>
        <v>0</v>
      </c>
      <c r="E122" s="26">
        <f>IFERROR(SUMIF(Pago_GERE!$B:$B,C122,Pago_GERE!$R:$R),0)</f>
        <v>0</v>
      </c>
      <c r="F122" s="26">
        <f>IFERROR(SUMIF(Hoja2!$H:$H,C122,Hoja2!$U:$U),0)</f>
        <v>0</v>
      </c>
      <c r="G122" s="17">
        <f>IFERROR(VLOOKUP(C122,Hoja3!$C:$D,2,FALSE),"")</f>
        <v>0</v>
      </c>
      <c r="H122" s="17"/>
      <c r="I122" s="17" t="s">
        <v>152</v>
      </c>
      <c r="J122" s="17" t="s">
        <v>165</v>
      </c>
      <c r="K122" s="17" t="s">
        <v>39</v>
      </c>
      <c r="L122" s="17">
        <v>10000064</v>
      </c>
      <c r="M122" s="17" t="s">
        <v>199</v>
      </c>
      <c r="N122" s="17">
        <v>151390558</v>
      </c>
      <c r="O122" s="17" t="s">
        <v>198</v>
      </c>
      <c r="P122" s="17" t="s">
        <v>160</v>
      </c>
      <c r="Q122" s="17"/>
      <c r="R122" s="17"/>
      <c r="S122" s="17" t="s">
        <v>147</v>
      </c>
      <c r="T122" s="17" t="s">
        <v>159</v>
      </c>
      <c r="U122" s="17" t="s">
        <v>145</v>
      </c>
      <c r="V122" s="17"/>
      <c r="W122" s="17"/>
    </row>
    <row r="123" spans="1:23" x14ac:dyDescent="0.45">
      <c r="A123" s="17" t="s">
        <v>1065</v>
      </c>
      <c r="B123" s="22">
        <v>46084</v>
      </c>
      <c r="C123" s="17">
        <v>151384555</v>
      </c>
      <c r="D123" s="26">
        <f>IFERROR(SUMIF(Servicios_Promotores!$B:$B,C123,Servicios_Promotores!$R:$R),0)</f>
        <v>0</v>
      </c>
      <c r="E123" s="26">
        <f>IFERROR(SUMIF(Pago_GERE!$B:$B,C123,Pago_GERE!$R:$R),0)</f>
        <v>0</v>
      </c>
      <c r="F123" s="26">
        <f>IFERROR(SUMIF(Hoja2!$H:$H,C123,Hoja2!$U:$U),0)</f>
        <v>0</v>
      </c>
      <c r="G123" s="17">
        <f>IFERROR(VLOOKUP(C123,Hoja3!$C:$D,2,FALSE),"")</f>
        <v>0</v>
      </c>
      <c r="H123" s="17"/>
      <c r="I123" s="17" t="s">
        <v>152</v>
      </c>
      <c r="J123" s="17" t="s">
        <v>151</v>
      </c>
      <c r="K123" s="17" t="s">
        <v>31</v>
      </c>
      <c r="L123" s="17">
        <v>10000064</v>
      </c>
      <c r="M123" s="17" t="s">
        <v>536</v>
      </c>
      <c r="N123" s="17">
        <v>22765557</v>
      </c>
      <c r="O123" s="17" t="s">
        <v>1066</v>
      </c>
      <c r="P123" s="17" t="s">
        <v>179</v>
      </c>
      <c r="Q123" s="17" t="s">
        <v>1064</v>
      </c>
      <c r="R123" s="17" t="s">
        <v>1066</v>
      </c>
      <c r="S123" s="17" t="s">
        <v>147</v>
      </c>
      <c r="T123" s="17" t="s">
        <v>178</v>
      </c>
      <c r="U123" s="17" t="s">
        <v>251</v>
      </c>
      <c r="V123" s="17"/>
      <c r="W123" s="17"/>
    </row>
    <row r="124" spans="1:23" x14ac:dyDescent="0.45">
      <c r="A124" s="17" t="s">
        <v>1065</v>
      </c>
      <c r="B124" s="22">
        <v>46160</v>
      </c>
      <c r="C124" s="17">
        <v>151512307</v>
      </c>
      <c r="D124" s="26">
        <f>IFERROR(SUMIF(Servicios_Promotores!$B:$B,C124,Servicios_Promotores!$R:$R),0)</f>
        <v>0</v>
      </c>
      <c r="E124" s="26">
        <f>IFERROR(SUMIF(Pago_GERE!$B:$B,C124,Pago_GERE!$R:$R),0)</f>
        <v>0</v>
      </c>
      <c r="F124" s="26">
        <f>IFERROR(SUMIF(Hoja2!$H:$H,C124,Hoja2!$U:$U),0)</f>
        <v>0</v>
      </c>
      <c r="G124" s="17">
        <f>IFERROR(VLOOKUP(C124,Hoja3!$C:$D,2,FALSE),"")</f>
        <v>0</v>
      </c>
      <c r="H124" s="17"/>
      <c r="I124" s="17" t="s">
        <v>152</v>
      </c>
      <c r="J124" s="17" t="s">
        <v>151</v>
      </c>
      <c r="K124" s="17" t="s">
        <v>39</v>
      </c>
      <c r="L124" s="17">
        <v>10000064</v>
      </c>
      <c r="M124" s="17" t="s">
        <v>161</v>
      </c>
      <c r="N124" s="17">
        <v>25171711</v>
      </c>
      <c r="O124" s="17" t="s">
        <v>1082</v>
      </c>
      <c r="P124" s="17" t="s">
        <v>160</v>
      </c>
      <c r="Q124" s="17" t="s">
        <v>1070</v>
      </c>
      <c r="R124" s="17" t="s">
        <v>1082</v>
      </c>
      <c r="S124" s="17" t="s">
        <v>147</v>
      </c>
      <c r="T124" s="17" t="s">
        <v>159</v>
      </c>
      <c r="U124" s="17" t="s">
        <v>251</v>
      </c>
      <c r="V124" s="17"/>
      <c r="W124" s="17"/>
    </row>
    <row r="125" spans="1:23" x14ac:dyDescent="0.45">
      <c r="A125" s="17" t="s">
        <v>1065</v>
      </c>
      <c r="B125" s="22">
        <v>46157</v>
      </c>
      <c r="C125" s="17">
        <v>151509607</v>
      </c>
      <c r="D125" s="26">
        <f>IFERROR(SUMIF(Servicios_Promotores!$B:$B,C125,Servicios_Promotores!$R:$R),0)</f>
        <v>0</v>
      </c>
      <c r="E125" s="26">
        <f>IFERROR(SUMIF(Pago_GERE!$B:$B,C125,Pago_GERE!$R:$R),0)</f>
        <v>0</v>
      </c>
      <c r="F125" s="26">
        <f>IFERROR(SUMIF(Hoja2!$H:$H,C125,Hoja2!$U:$U),0)</f>
        <v>0</v>
      </c>
      <c r="G125" s="17">
        <f>IFERROR(VLOOKUP(C125,Hoja3!$C:$D,2,FALSE),"")</f>
        <v>0</v>
      </c>
      <c r="H125" s="17"/>
      <c r="I125" s="17" t="s">
        <v>152</v>
      </c>
      <c r="J125" s="17" t="s">
        <v>151</v>
      </c>
      <c r="K125" s="17" t="s">
        <v>39</v>
      </c>
      <c r="L125" s="17">
        <v>10000064</v>
      </c>
      <c r="M125" s="17" t="s">
        <v>161</v>
      </c>
      <c r="N125" s="17">
        <v>25165234</v>
      </c>
      <c r="O125" s="17" t="s">
        <v>1066</v>
      </c>
      <c r="P125" s="17" t="s">
        <v>170</v>
      </c>
      <c r="Q125" s="17" t="s">
        <v>1064</v>
      </c>
      <c r="R125" s="17" t="s">
        <v>1066</v>
      </c>
      <c r="S125" s="17" t="s">
        <v>147</v>
      </c>
      <c r="T125" s="17" t="s">
        <v>169</v>
      </c>
      <c r="U125" s="17" t="s">
        <v>251</v>
      </c>
      <c r="V125" s="17"/>
      <c r="W125" s="17"/>
    </row>
    <row r="126" spans="1:23" x14ac:dyDescent="0.45">
      <c r="A126" s="17" t="s">
        <v>1065</v>
      </c>
      <c r="B126" s="22">
        <v>46157</v>
      </c>
      <c r="C126" s="17">
        <v>151509684</v>
      </c>
      <c r="D126" s="26">
        <f>IFERROR(SUMIF(Servicios_Promotores!$B:$B,C126,Servicios_Promotores!$R:$R),0)</f>
        <v>0</v>
      </c>
      <c r="E126" s="26">
        <f>IFERROR(SUMIF(Pago_GERE!$B:$B,C126,Pago_GERE!$R:$R),0)</f>
        <v>0</v>
      </c>
      <c r="F126" s="26">
        <f>IFERROR(SUMIF(Hoja2!$H:$H,C126,Hoja2!$U:$U),0)</f>
        <v>0</v>
      </c>
      <c r="G126" s="17">
        <f>IFERROR(VLOOKUP(C126,Hoja3!$C:$D,2,FALSE),"")</f>
        <v>0</v>
      </c>
      <c r="H126" s="17"/>
      <c r="I126" s="17" t="s">
        <v>158</v>
      </c>
      <c r="J126" s="17" t="s">
        <v>151</v>
      </c>
      <c r="K126" s="17" t="s">
        <v>42</v>
      </c>
      <c r="L126" s="17">
        <v>10000064</v>
      </c>
      <c r="M126" s="17" t="s">
        <v>161</v>
      </c>
      <c r="N126" s="17">
        <v>25173758</v>
      </c>
      <c r="O126" s="17" t="s">
        <v>1081</v>
      </c>
      <c r="P126" s="17" t="s">
        <v>192</v>
      </c>
      <c r="Q126" s="17" t="s">
        <v>1070</v>
      </c>
      <c r="R126" s="17" t="s">
        <v>1081</v>
      </c>
      <c r="S126" s="17" t="s">
        <v>155</v>
      </c>
      <c r="T126" s="17" t="s">
        <v>146</v>
      </c>
      <c r="U126" s="17" t="s">
        <v>251</v>
      </c>
      <c r="V126" s="17"/>
      <c r="W126" s="17"/>
    </row>
    <row r="127" spans="1:23" x14ac:dyDescent="0.45">
      <c r="A127" s="17" t="s">
        <v>1065</v>
      </c>
      <c r="B127" s="22">
        <v>46158</v>
      </c>
      <c r="C127" s="17">
        <v>151509889</v>
      </c>
      <c r="D127" s="26">
        <f>IFERROR(SUMIF(Servicios_Promotores!$B:$B,C127,Servicios_Promotores!$R:$R),0)</f>
        <v>0</v>
      </c>
      <c r="E127" s="26">
        <f>IFERROR(SUMIF(Pago_GERE!$B:$B,C127,Pago_GERE!$R:$R),0)</f>
        <v>0</v>
      </c>
      <c r="F127" s="26">
        <f>IFERROR(SUMIF(Hoja2!$H:$H,C127,Hoja2!$U:$U),0)</f>
        <v>0</v>
      </c>
      <c r="G127" s="17">
        <f>IFERROR(VLOOKUP(C127,Hoja3!$C:$D,2,FALSE),"")</f>
        <v>0</v>
      </c>
      <c r="H127" s="17"/>
      <c r="I127" s="17" t="s">
        <v>152</v>
      </c>
      <c r="J127" s="17" t="s">
        <v>165</v>
      </c>
      <c r="K127" s="17" t="s">
        <v>36</v>
      </c>
      <c r="L127" s="17">
        <v>10000064</v>
      </c>
      <c r="M127" s="17" t="s">
        <v>161</v>
      </c>
      <c r="N127" s="17">
        <v>25146250</v>
      </c>
      <c r="O127" s="17" t="s">
        <v>1080</v>
      </c>
      <c r="P127" s="17" t="s">
        <v>174</v>
      </c>
      <c r="Q127" s="17" t="s">
        <v>1079</v>
      </c>
      <c r="R127" s="17" t="s">
        <v>1080</v>
      </c>
      <c r="S127" s="17" t="s">
        <v>147</v>
      </c>
      <c r="T127" s="17" t="s">
        <v>480</v>
      </c>
      <c r="U127" s="17" t="s">
        <v>251</v>
      </c>
      <c r="V127" s="17"/>
      <c r="W127" s="17"/>
    </row>
    <row r="128" spans="1:23" x14ac:dyDescent="0.45">
      <c r="A128" s="17" t="s">
        <v>1065</v>
      </c>
      <c r="B128" s="22">
        <v>46158</v>
      </c>
      <c r="C128" s="17">
        <v>151509846</v>
      </c>
      <c r="D128" s="26">
        <f>IFERROR(SUMIF(Servicios_Promotores!$B:$B,C128,Servicios_Promotores!$R:$R),0)</f>
        <v>0</v>
      </c>
      <c r="E128" s="26">
        <f>IFERROR(SUMIF(Pago_GERE!$B:$B,C128,Pago_GERE!$R:$R),0)</f>
        <v>0</v>
      </c>
      <c r="F128" s="26">
        <f>IFERROR(SUMIF(Hoja2!$H:$H,C128,Hoja2!$U:$U),0)</f>
        <v>0</v>
      </c>
      <c r="G128" s="17">
        <f>IFERROR(VLOOKUP(C128,Hoja3!$C:$D,2,FALSE),"")</f>
        <v>0</v>
      </c>
      <c r="H128" s="17"/>
      <c r="I128" s="17" t="s">
        <v>551</v>
      </c>
      <c r="J128" s="17" t="s">
        <v>151</v>
      </c>
      <c r="K128" s="17" t="s">
        <v>42</v>
      </c>
      <c r="L128" s="17">
        <v>10000064</v>
      </c>
      <c r="M128" s="17" t="s">
        <v>161</v>
      </c>
      <c r="N128" s="17">
        <v>25152636</v>
      </c>
      <c r="O128" s="17" t="s">
        <v>1078</v>
      </c>
      <c r="P128" s="17" t="s">
        <v>148</v>
      </c>
      <c r="Q128" s="17" t="s">
        <v>1079</v>
      </c>
      <c r="R128" s="17" t="s">
        <v>1078</v>
      </c>
      <c r="S128" s="17" t="s">
        <v>147</v>
      </c>
      <c r="T128" s="17" t="s">
        <v>146</v>
      </c>
      <c r="U128" s="17" t="s">
        <v>251</v>
      </c>
      <c r="V128" s="17"/>
      <c r="W128" s="17"/>
    </row>
    <row r="129" spans="1:23" x14ac:dyDescent="0.45">
      <c r="A129" s="17" t="s">
        <v>1065</v>
      </c>
      <c r="B129" s="22">
        <v>46161</v>
      </c>
      <c r="C129" s="17">
        <v>151515331</v>
      </c>
      <c r="D129" s="26">
        <f>IFERROR(SUMIF(Servicios_Promotores!$B:$B,C129,Servicios_Promotores!$R:$R),0)</f>
        <v>0</v>
      </c>
      <c r="E129" s="26">
        <f>IFERROR(SUMIF(Pago_GERE!$B:$B,C129,Pago_GERE!$R:$R),0)</f>
        <v>0</v>
      </c>
      <c r="F129" s="26">
        <f>IFERROR(SUMIF(Hoja2!$H:$H,C129,Hoja2!$U:$U),0)</f>
        <v>0</v>
      </c>
      <c r="G129" s="17">
        <f>IFERROR(VLOOKUP(C129,Hoja3!$C:$D,2,FALSE),"")</f>
        <v>0</v>
      </c>
      <c r="H129" s="17"/>
      <c r="I129" s="17" t="s">
        <v>152</v>
      </c>
      <c r="J129" s="17" t="s">
        <v>151</v>
      </c>
      <c r="K129" s="17" t="s">
        <v>39</v>
      </c>
      <c r="L129" s="17">
        <v>10000064</v>
      </c>
      <c r="M129" s="17" t="s">
        <v>161</v>
      </c>
      <c r="N129" s="17">
        <v>25215629</v>
      </c>
      <c r="O129" s="17" t="s">
        <v>1076</v>
      </c>
      <c r="P129" s="17" t="s">
        <v>160</v>
      </c>
      <c r="Q129" s="17" t="s">
        <v>1077</v>
      </c>
      <c r="R129" s="17" t="s">
        <v>1076</v>
      </c>
      <c r="S129" s="17" t="s">
        <v>147</v>
      </c>
      <c r="T129" s="17" t="s">
        <v>159</v>
      </c>
      <c r="U129" s="17" t="s">
        <v>251</v>
      </c>
      <c r="V129" s="17"/>
      <c r="W129" s="17"/>
    </row>
    <row r="130" spans="1:23" x14ac:dyDescent="0.45">
      <c r="A130" s="17" t="s">
        <v>1065</v>
      </c>
      <c r="B130" s="22">
        <v>46162</v>
      </c>
      <c r="C130" s="17">
        <v>151515989</v>
      </c>
      <c r="D130" s="26">
        <f>IFERROR(SUMIF(Servicios_Promotores!$B:$B,C130,Servicios_Promotores!$R:$R),0)</f>
        <v>0</v>
      </c>
      <c r="E130" s="26">
        <f>IFERROR(SUMIF(Pago_GERE!$B:$B,C130,Pago_GERE!$R:$R),0)</f>
        <v>0</v>
      </c>
      <c r="F130" s="26">
        <f>IFERROR(SUMIF(Hoja2!$H:$H,C130,Hoja2!$U:$U),0)</f>
        <v>0</v>
      </c>
      <c r="G130" s="17">
        <f>IFERROR(VLOOKUP(C130,Hoja3!$C:$D,2,FALSE),"")</f>
        <v>0</v>
      </c>
      <c r="H130" s="17"/>
      <c r="I130" s="17" t="s">
        <v>152</v>
      </c>
      <c r="J130" s="17" t="s">
        <v>165</v>
      </c>
      <c r="K130" s="17" t="s">
        <v>39</v>
      </c>
      <c r="L130" s="17">
        <v>10000064</v>
      </c>
      <c r="M130" s="17" t="s">
        <v>161</v>
      </c>
      <c r="N130" s="17">
        <v>25237914</v>
      </c>
      <c r="O130" s="17" t="s">
        <v>1074</v>
      </c>
      <c r="P130" s="17" t="s">
        <v>160</v>
      </c>
      <c r="Q130" s="17" t="s">
        <v>1064</v>
      </c>
      <c r="R130" s="17" t="s">
        <v>1074</v>
      </c>
      <c r="S130" s="17" t="s">
        <v>147</v>
      </c>
      <c r="T130" s="17" t="s">
        <v>159</v>
      </c>
      <c r="U130" s="17" t="s">
        <v>251</v>
      </c>
      <c r="V130" s="17"/>
      <c r="W130" s="17"/>
    </row>
    <row r="131" spans="1:23" x14ac:dyDescent="0.45">
      <c r="A131" s="17" t="s">
        <v>254</v>
      </c>
      <c r="B131" s="22">
        <v>46156</v>
      </c>
      <c r="C131" s="17">
        <v>151507513</v>
      </c>
      <c r="D131" s="26">
        <f>IFERROR(SUMIF(Servicios_Promotores!$B:$B,C131,Servicios_Promotores!$R:$R),0)</f>
        <v>262.99999998999999</v>
      </c>
      <c r="E131" s="26">
        <f>IFERROR(SUMIF(Pago_GERE!$B:$B,C131,Pago_GERE!$R:$R),0)</f>
        <v>187.000000005</v>
      </c>
      <c r="F131" s="26">
        <f>IFERROR(SUMIF(Hoja2!$H:$H,C131,Hoja2!$U:$U),0)</f>
        <v>0</v>
      </c>
      <c r="G131" s="17">
        <f>IFERROR(VLOOKUP(C131,Hoja3!$C:$D,2,FALSE),"")</f>
        <v>0</v>
      </c>
      <c r="H131" s="22">
        <v>46160</v>
      </c>
      <c r="I131" s="17" t="s">
        <v>152</v>
      </c>
      <c r="J131" s="17" t="s">
        <v>165</v>
      </c>
      <c r="K131" s="17" t="s">
        <v>55</v>
      </c>
      <c r="L131" s="17">
        <v>10000064</v>
      </c>
      <c r="M131" s="17" t="s">
        <v>161</v>
      </c>
      <c r="N131" s="17">
        <v>25179715</v>
      </c>
      <c r="O131" s="17" t="s">
        <v>373</v>
      </c>
      <c r="P131" s="17" t="s">
        <v>296</v>
      </c>
      <c r="Q131" s="17" t="s">
        <v>253</v>
      </c>
      <c r="R131" s="17" t="s">
        <v>373</v>
      </c>
      <c r="S131" s="17" t="s">
        <v>147</v>
      </c>
      <c r="T131" s="17" t="s">
        <v>257</v>
      </c>
      <c r="U131" s="17" t="s">
        <v>251</v>
      </c>
      <c r="V131" s="17" t="s">
        <v>350</v>
      </c>
      <c r="W131" s="17" t="s">
        <v>349</v>
      </c>
    </row>
    <row r="132" spans="1:23" x14ac:dyDescent="0.45">
      <c r="A132" s="17" t="s">
        <v>254</v>
      </c>
      <c r="B132" s="22">
        <v>46157</v>
      </c>
      <c r="C132" s="17">
        <v>151509448</v>
      </c>
      <c r="D132" s="26">
        <f>IFERROR(SUMIF(Servicios_Promotores!$B:$B,C132,Servicios_Promotores!$R:$R),0)</f>
        <v>0</v>
      </c>
      <c r="E132" s="26">
        <f>IFERROR(SUMIF(Pago_GERE!$B:$B,C132,Pago_GERE!$R:$R),0)</f>
        <v>0</v>
      </c>
      <c r="F132" s="26">
        <f>IFERROR(SUMIF(Hoja2!$H:$H,C132,Hoja2!$U:$U),0)</f>
        <v>0</v>
      </c>
      <c r="G132" s="17">
        <f>IFERROR(VLOOKUP(C132,Hoja3!$C:$D,2,FALSE),"")</f>
        <v>0</v>
      </c>
      <c r="H132" s="22">
        <v>46161</v>
      </c>
      <c r="I132" s="17" t="s">
        <v>152</v>
      </c>
      <c r="J132" s="17" t="s">
        <v>165</v>
      </c>
      <c r="K132" s="17" t="s">
        <v>42</v>
      </c>
      <c r="L132" s="17">
        <v>10000064</v>
      </c>
      <c r="M132" s="17" t="s">
        <v>161</v>
      </c>
      <c r="N132" s="17">
        <v>25152691</v>
      </c>
      <c r="O132" s="17" t="s">
        <v>353</v>
      </c>
      <c r="P132" s="17" t="s">
        <v>148</v>
      </c>
      <c r="Q132" s="17" t="s">
        <v>253</v>
      </c>
      <c r="R132" s="17" t="s">
        <v>353</v>
      </c>
      <c r="S132" s="17" t="s">
        <v>147</v>
      </c>
      <c r="T132" s="17" t="s">
        <v>146</v>
      </c>
      <c r="U132" s="17" t="s">
        <v>251</v>
      </c>
      <c r="V132" s="17" t="s">
        <v>352</v>
      </c>
      <c r="W132" s="17" t="s">
        <v>341</v>
      </c>
    </row>
    <row r="133" spans="1:23" x14ac:dyDescent="0.45">
      <c r="A133" s="17" t="s">
        <v>254</v>
      </c>
      <c r="B133" s="22">
        <v>46160</v>
      </c>
      <c r="C133" s="17">
        <v>151512653</v>
      </c>
      <c r="D133" s="26">
        <f>IFERROR(SUMIF(Servicios_Promotores!$B:$B,C133,Servicios_Promotores!$R:$R),0)</f>
        <v>0</v>
      </c>
      <c r="E133" s="26">
        <f>IFERROR(SUMIF(Pago_GERE!$B:$B,C133,Pago_GERE!$R:$R),0)</f>
        <v>0</v>
      </c>
      <c r="F133" s="26">
        <f>IFERROR(SUMIF(Hoja2!$H:$H,C133,Hoja2!$U:$U),0)</f>
        <v>0</v>
      </c>
      <c r="G133" s="17">
        <f>IFERROR(VLOOKUP(C133,Hoja3!$C:$D,2,FALSE),"")</f>
        <v>0</v>
      </c>
      <c r="H133" s="22">
        <v>46163</v>
      </c>
      <c r="I133" s="17" t="s">
        <v>152</v>
      </c>
      <c r="J133" s="17" t="s">
        <v>151</v>
      </c>
      <c r="K133" s="17" t="s">
        <v>39</v>
      </c>
      <c r="L133" s="17">
        <v>10000064</v>
      </c>
      <c r="M133" s="17" t="s">
        <v>161</v>
      </c>
      <c r="N133" s="17">
        <v>25188909</v>
      </c>
      <c r="O133" s="17" t="s">
        <v>348</v>
      </c>
      <c r="P133" s="17" t="s">
        <v>160</v>
      </c>
      <c r="Q133" s="17" t="s">
        <v>253</v>
      </c>
      <c r="R133" s="17" t="s">
        <v>348</v>
      </c>
      <c r="S133" s="17" t="s">
        <v>147</v>
      </c>
      <c r="T133" s="17" t="s">
        <v>159</v>
      </c>
      <c r="U133" s="17" t="s">
        <v>251</v>
      </c>
      <c r="V133" s="17" t="s">
        <v>347</v>
      </c>
      <c r="W133" s="17" t="s">
        <v>346</v>
      </c>
    </row>
    <row r="134" spans="1:23" x14ac:dyDescent="0.45">
      <c r="A134" s="17" t="s">
        <v>254</v>
      </c>
      <c r="B134" s="22">
        <v>46162</v>
      </c>
      <c r="C134" s="17">
        <v>151517208</v>
      </c>
      <c r="D134" s="26">
        <f>IFERROR(SUMIF(Servicios_Promotores!$B:$B,C134,Servicios_Promotores!$R:$R),0)</f>
        <v>0</v>
      </c>
      <c r="E134" s="26">
        <f>IFERROR(SUMIF(Pago_GERE!$B:$B,C134,Pago_GERE!$R:$R),0)</f>
        <v>0</v>
      </c>
      <c r="F134" s="26">
        <f>IFERROR(SUMIF(Hoja2!$H:$H,C134,Hoja2!$U:$U),0)</f>
        <v>0</v>
      </c>
      <c r="G134" s="17">
        <f>IFERROR(VLOOKUP(C134,Hoja3!$C:$D,2,FALSE),"")</f>
        <v>0</v>
      </c>
      <c r="H134" s="22">
        <v>46163</v>
      </c>
      <c r="I134" s="17" t="s">
        <v>158</v>
      </c>
      <c r="J134" s="17" t="s">
        <v>151</v>
      </c>
      <c r="K134" s="17" t="s">
        <v>62</v>
      </c>
      <c r="L134" s="17">
        <v>10000064</v>
      </c>
      <c r="M134" s="17" t="s">
        <v>161</v>
      </c>
      <c r="N134" s="17">
        <v>25239906</v>
      </c>
      <c r="O134" s="17" t="s">
        <v>340</v>
      </c>
      <c r="P134" s="17" t="s">
        <v>188</v>
      </c>
      <c r="Q134" s="17" t="s">
        <v>253</v>
      </c>
      <c r="R134" s="17" t="s">
        <v>340</v>
      </c>
      <c r="S134" s="17" t="s">
        <v>155</v>
      </c>
      <c r="T134" s="17" t="s">
        <v>187</v>
      </c>
      <c r="U134" s="17" t="s">
        <v>251</v>
      </c>
      <c r="V134" s="17" t="s">
        <v>339</v>
      </c>
      <c r="W134" s="17" t="s">
        <v>338</v>
      </c>
    </row>
    <row r="135" spans="1:23" x14ac:dyDescent="0.45">
      <c r="A135" s="17" t="s">
        <v>254</v>
      </c>
      <c r="B135" s="22">
        <v>46162</v>
      </c>
      <c r="C135" s="17">
        <v>151515786</v>
      </c>
      <c r="D135" s="26">
        <f>IFERROR(SUMIF(Servicios_Promotores!$B:$B,C135,Servicios_Promotores!$R:$R),0)</f>
        <v>0</v>
      </c>
      <c r="E135" s="26">
        <f>IFERROR(SUMIF(Pago_GERE!$B:$B,C135,Pago_GERE!$R:$R),0)</f>
        <v>0</v>
      </c>
      <c r="F135" s="26">
        <f>IFERROR(SUMIF(Hoja2!$H:$H,C135,Hoja2!$U:$U),0)</f>
        <v>0</v>
      </c>
      <c r="G135" s="17">
        <f>IFERROR(VLOOKUP(C135,Hoja3!$C:$D,2,FALSE),"")</f>
        <v>0</v>
      </c>
      <c r="H135" s="22">
        <v>46162</v>
      </c>
      <c r="I135" s="17" t="s">
        <v>152</v>
      </c>
      <c r="J135" s="17" t="s">
        <v>151</v>
      </c>
      <c r="K135" s="17" t="s">
        <v>42</v>
      </c>
      <c r="L135" s="17">
        <v>10000064</v>
      </c>
      <c r="M135" s="17" t="s">
        <v>161</v>
      </c>
      <c r="N135" s="17">
        <v>25220287</v>
      </c>
      <c r="O135" s="17" t="s">
        <v>337</v>
      </c>
      <c r="P135" s="17" t="s">
        <v>148</v>
      </c>
      <c r="Q135" s="17" t="s">
        <v>253</v>
      </c>
      <c r="R135" s="17" t="s">
        <v>337</v>
      </c>
      <c r="S135" s="17" t="s">
        <v>147</v>
      </c>
      <c r="T135" s="17" t="s">
        <v>146</v>
      </c>
      <c r="U135" s="17" t="s">
        <v>251</v>
      </c>
      <c r="V135" s="17" t="s">
        <v>336</v>
      </c>
      <c r="W135" s="17" t="s">
        <v>335</v>
      </c>
    </row>
    <row r="136" spans="1:23" x14ac:dyDescent="0.45">
      <c r="A136" s="17" t="s">
        <v>254</v>
      </c>
      <c r="B136" s="22">
        <v>46162</v>
      </c>
      <c r="C136" s="17">
        <v>151516225</v>
      </c>
      <c r="D136" s="26">
        <f>IFERROR(SUMIF(Servicios_Promotores!$B:$B,C136,Servicios_Promotores!$R:$R),0)</f>
        <v>0</v>
      </c>
      <c r="E136" s="26">
        <f>IFERROR(SUMIF(Pago_GERE!$B:$B,C136,Pago_GERE!$R:$R),0)</f>
        <v>0</v>
      </c>
      <c r="F136" s="26">
        <f>IFERROR(SUMIF(Hoja2!$H:$H,C136,Hoja2!$U:$U),0)</f>
        <v>0</v>
      </c>
      <c r="G136" s="17">
        <f>IFERROR(VLOOKUP(C136,Hoja3!$C:$D,2,FALSE),"")</f>
        <v>0</v>
      </c>
      <c r="H136" s="22">
        <v>46166</v>
      </c>
      <c r="I136" s="17" t="s">
        <v>152</v>
      </c>
      <c r="J136" s="17" t="s">
        <v>165</v>
      </c>
      <c r="K136" s="17" t="s">
        <v>62</v>
      </c>
      <c r="L136" s="17">
        <v>10000064</v>
      </c>
      <c r="M136" s="17" t="s">
        <v>161</v>
      </c>
      <c r="N136" s="17">
        <v>25298347</v>
      </c>
      <c r="O136" s="17" t="s">
        <v>331</v>
      </c>
      <c r="P136" s="17" t="s">
        <v>188</v>
      </c>
      <c r="Q136" s="17" t="s">
        <v>253</v>
      </c>
      <c r="R136" s="17" t="s">
        <v>331</v>
      </c>
      <c r="S136" s="17" t="s">
        <v>147</v>
      </c>
      <c r="T136" s="17" t="s">
        <v>187</v>
      </c>
      <c r="U136" s="17" t="s">
        <v>251</v>
      </c>
      <c r="V136" s="17"/>
      <c r="W136" s="17"/>
    </row>
    <row r="137" spans="1:23" x14ac:dyDescent="0.45">
      <c r="A137" s="17" t="s">
        <v>254</v>
      </c>
      <c r="B137" s="22">
        <v>46149</v>
      </c>
      <c r="C137" s="17">
        <v>151496302</v>
      </c>
      <c r="D137" s="26">
        <f>IFERROR(SUMIF(Servicios_Promotores!$B:$B,C137,Servicios_Promotores!$R:$R),0)</f>
        <v>0</v>
      </c>
      <c r="E137" s="26">
        <f>IFERROR(SUMIF(Pago_GERE!$B:$B,C137,Pago_GERE!$R:$R),0)</f>
        <v>0</v>
      </c>
      <c r="F137" s="26">
        <f>IFERROR(SUMIF(Hoja2!$H:$H,C137,Hoja2!$U:$U),0)</f>
        <v>0</v>
      </c>
      <c r="G137" s="17">
        <f>IFERROR(VLOOKUP(C137,Hoja3!$C:$D,2,FALSE),"")</f>
        <v>0</v>
      </c>
      <c r="H137" s="22">
        <v>46163</v>
      </c>
      <c r="I137" s="17" t="s">
        <v>152</v>
      </c>
      <c r="J137" s="17" t="s">
        <v>165</v>
      </c>
      <c r="K137" s="17" t="s">
        <v>42</v>
      </c>
      <c r="L137" s="17">
        <v>10000064</v>
      </c>
      <c r="M137" s="17" t="s">
        <v>161</v>
      </c>
      <c r="N137" s="17">
        <v>24883601</v>
      </c>
      <c r="O137" s="17" t="s">
        <v>291</v>
      </c>
      <c r="P137" s="17" t="s">
        <v>224</v>
      </c>
      <c r="Q137" s="17" t="s">
        <v>253</v>
      </c>
      <c r="R137" s="17" t="s">
        <v>291</v>
      </c>
      <c r="S137" s="17" t="s">
        <v>147</v>
      </c>
      <c r="T137" s="17" t="s">
        <v>223</v>
      </c>
      <c r="U137" s="17" t="s">
        <v>251</v>
      </c>
      <c r="V137" s="17" t="s">
        <v>290</v>
      </c>
      <c r="W137" s="17" t="s">
        <v>264</v>
      </c>
    </row>
    <row r="138" spans="1:23" x14ac:dyDescent="0.45">
      <c r="A138" s="17"/>
      <c r="B138" s="22">
        <v>46162</v>
      </c>
      <c r="C138" s="17">
        <v>151516184</v>
      </c>
      <c r="D138" s="26">
        <f>IFERROR(SUMIF(Servicios_Promotores!$B:$B,C138,Servicios_Promotores!$R:$R),0)</f>
        <v>0</v>
      </c>
      <c r="E138" s="26">
        <f>IFERROR(SUMIF(Pago_GERE!$B:$B,C138,Pago_GERE!$R:$R),0)</f>
        <v>0</v>
      </c>
      <c r="F138" s="26">
        <f>IFERROR(SUMIF(Hoja2!$H:$H,C138,Hoja2!$U:$U),0)</f>
        <v>0</v>
      </c>
      <c r="G138" s="17">
        <f>IFERROR(VLOOKUP(C138,Hoja3!$C:$D,2,FALSE),"")</f>
        <v>0</v>
      </c>
      <c r="H138" s="17"/>
      <c r="I138" s="17" t="s">
        <v>158</v>
      </c>
      <c r="J138" s="17" t="s">
        <v>151</v>
      </c>
      <c r="K138" s="17" t="s">
        <v>39</v>
      </c>
      <c r="L138" s="17">
        <v>10000064</v>
      </c>
      <c r="M138" s="17" t="s">
        <v>161</v>
      </c>
      <c r="N138" s="17">
        <v>151516184</v>
      </c>
      <c r="O138" s="17"/>
      <c r="P138" s="17" t="s">
        <v>160</v>
      </c>
      <c r="Q138" s="17"/>
      <c r="R138" s="17"/>
      <c r="S138" s="17" t="s">
        <v>155</v>
      </c>
      <c r="T138" s="17" t="s">
        <v>159</v>
      </c>
      <c r="U138" s="17" t="s">
        <v>145</v>
      </c>
      <c r="V138" s="17"/>
      <c r="W138" s="17"/>
    </row>
    <row r="139" spans="1:23" x14ac:dyDescent="0.45">
      <c r="A139" s="17" t="s">
        <v>1065</v>
      </c>
      <c r="B139" s="22">
        <v>46125</v>
      </c>
      <c r="C139" s="17">
        <v>151454531</v>
      </c>
      <c r="D139" s="26">
        <f>IFERROR(SUMIF(Servicios_Promotores!$B:$B,C139,Servicios_Promotores!$R:$R),0)</f>
        <v>0</v>
      </c>
      <c r="E139" s="26">
        <f>IFERROR(SUMIF(Pago_GERE!$B:$B,C139,Pago_GERE!$R:$R),0)</f>
        <v>0</v>
      </c>
      <c r="F139" s="26">
        <f>IFERROR(SUMIF(Hoja2!$H:$H,C139,Hoja2!$U:$U),0)</f>
        <v>0</v>
      </c>
      <c r="G139" s="17">
        <f>IFERROR(VLOOKUP(C139,Hoja3!$C:$D,2,FALSE),"")</f>
        <v>0</v>
      </c>
      <c r="H139" s="17"/>
      <c r="I139" s="17" t="s">
        <v>163</v>
      </c>
      <c r="J139" s="17" t="s">
        <v>151</v>
      </c>
      <c r="K139" s="17" t="s">
        <v>45</v>
      </c>
      <c r="L139" s="17">
        <v>10001013</v>
      </c>
      <c r="M139" s="17" t="s">
        <v>157</v>
      </c>
      <c r="N139" s="17">
        <v>24195454</v>
      </c>
      <c r="O139" s="17" t="s">
        <v>1091</v>
      </c>
      <c r="P139" s="17" t="s">
        <v>309</v>
      </c>
      <c r="Q139" s="17" t="s">
        <v>1064</v>
      </c>
      <c r="R139" s="17" t="s">
        <v>1091</v>
      </c>
      <c r="S139" s="17" t="s">
        <v>147</v>
      </c>
      <c r="T139" s="17" t="s">
        <v>307</v>
      </c>
      <c r="U139" s="17" t="s">
        <v>251</v>
      </c>
      <c r="V139" s="17"/>
      <c r="W139" s="17"/>
    </row>
    <row r="140" spans="1:23" x14ac:dyDescent="0.45">
      <c r="A140" s="17" t="s">
        <v>1065</v>
      </c>
      <c r="B140" s="22">
        <v>46120</v>
      </c>
      <c r="C140" s="17">
        <v>151447934</v>
      </c>
      <c r="D140" s="26">
        <f>IFERROR(SUMIF(Servicios_Promotores!$B:$B,C140,Servicios_Promotores!$R:$R),0)</f>
        <v>0</v>
      </c>
      <c r="E140" s="26">
        <f>IFERROR(SUMIF(Pago_GERE!$B:$B,C140,Pago_GERE!$R:$R),0)</f>
        <v>0</v>
      </c>
      <c r="F140" s="26">
        <f>IFERROR(SUMIF(Hoja2!$H:$H,C140,Hoja2!$U:$U),0)</f>
        <v>0</v>
      </c>
      <c r="G140" s="17">
        <f>IFERROR(VLOOKUP(C140,Hoja3!$C:$D,2,FALSE),"")</f>
        <v>0</v>
      </c>
      <c r="H140" s="17"/>
      <c r="I140" s="17" t="s">
        <v>152</v>
      </c>
      <c r="J140" s="17" t="s">
        <v>151</v>
      </c>
      <c r="K140" s="17" t="s">
        <v>42</v>
      </c>
      <c r="L140" s="17">
        <v>10001013</v>
      </c>
      <c r="M140" s="17" t="s">
        <v>157</v>
      </c>
      <c r="N140" s="17">
        <v>24118201</v>
      </c>
      <c r="O140" s="17" t="s">
        <v>1066</v>
      </c>
      <c r="P140" s="17" t="s">
        <v>148</v>
      </c>
      <c r="Q140" s="17" t="s">
        <v>1064</v>
      </c>
      <c r="R140" s="17" t="s">
        <v>1066</v>
      </c>
      <c r="S140" s="17" t="s">
        <v>147</v>
      </c>
      <c r="T140" s="17" t="s">
        <v>146</v>
      </c>
      <c r="U140" s="17" t="s">
        <v>251</v>
      </c>
      <c r="V140" s="17"/>
      <c r="W140" s="17"/>
    </row>
    <row r="141" spans="1:23" x14ac:dyDescent="0.45">
      <c r="A141" s="17" t="s">
        <v>254</v>
      </c>
      <c r="B141" s="22">
        <v>46132</v>
      </c>
      <c r="C141" s="17">
        <v>151467648</v>
      </c>
      <c r="D141" s="26">
        <f>IFERROR(SUMIF(Servicios_Promotores!$B:$B,C141,Servicios_Promotores!$R:$R),0)</f>
        <v>317.99999997999998</v>
      </c>
      <c r="E141" s="26">
        <f>IFERROR(SUMIF(Pago_GERE!$B:$B,C141,Pago_GERE!$R:$R),0)</f>
        <v>272.00000002499996</v>
      </c>
      <c r="F141" s="26">
        <f>IFERROR(SUMIF(Hoja2!$H:$H,C141,Hoja2!$U:$U),0)</f>
        <v>0</v>
      </c>
      <c r="G141" s="17">
        <f>IFERROR(VLOOKUP(C141,Hoja3!$C:$D,2,FALSE),"")</f>
        <v>0</v>
      </c>
      <c r="H141" s="22">
        <v>46133</v>
      </c>
      <c r="I141" s="17" t="s">
        <v>152</v>
      </c>
      <c r="J141" s="17" t="s">
        <v>165</v>
      </c>
      <c r="K141" s="17" t="s">
        <v>36</v>
      </c>
      <c r="L141" s="17">
        <v>10001013</v>
      </c>
      <c r="M141" s="17" t="s">
        <v>157</v>
      </c>
      <c r="N141" s="17">
        <v>24493680</v>
      </c>
      <c r="O141" s="17" t="s">
        <v>488</v>
      </c>
      <c r="P141" s="17" t="s">
        <v>482</v>
      </c>
      <c r="Q141" s="17" t="s">
        <v>253</v>
      </c>
      <c r="R141" s="17" t="s">
        <v>488</v>
      </c>
      <c r="S141" s="17" t="s">
        <v>147</v>
      </c>
      <c r="T141" s="17" t="s">
        <v>480</v>
      </c>
      <c r="U141" s="17" t="s">
        <v>251</v>
      </c>
      <c r="V141" s="17" t="s">
        <v>479</v>
      </c>
      <c r="W141" s="17" t="s">
        <v>478</v>
      </c>
    </row>
    <row r="142" spans="1:23" x14ac:dyDescent="0.45">
      <c r="A142" s="17" t="s">
        <v>254</v>
      </c>
      <c r="B142" s="22">
        <v>46130</v>
      </c>
      <c r="C142" s="17">
        <v>151465956</v>
      </c>
      <c r="D142" s="26">
        <f>IFERROR(SUMIF(Servicios_Promotores!$B:$B,C142,Servicios_Promotores!$R:$R),0)</f>
        <v>262.99999998999999</v>
      </c>
      <c r="E142" s="26">
        <f>IFERROR(SUMIF(Pago_GERE!$B:$B,C142,Pago_GERE!$R:$R),0)</f>
        <v>187.00000001799998</v>
      </c>
      <c r="F142" s="26">
        <f>IFERROR(SUMIF(Hoja2!$H:$H,C142,Hoja2!$U:$U),0)</f>
        <v>0</v>
      </c>
      <c r="G142" s="17">
        <f>IFERROR(VLOOKUP(C142,Hoja3!$C:$D,2,FALSE),"")</f>
        <v>0</v>
      </c>
      <c r="H142" s="22">
        <v>46135</v>
      </c>
      <c r="I142" s="17" t="s">
        <v>152</v>
      </c>
      <c r="J142" s="17" t="s">
        <v>165</v>
      </c>
      <c r="K142" s="17" t="s">
        <v>36</v>
      </c>
      <c r="L142" s="17">
        <v>10001013</v>
      </c>
      <c r="M142" s="17" t="s">
        <v>157</v>
      </c>
      <c r="N142" s="17">
        <v>24542164</v>
      </c>
      <c r="O142" s="17" t="s">
        <v>487</v>
      </c>
      <c r="P142" s="17" t="s">
        <v>482</v>
      </c>
      <c r="Q142" s="17" t="s">
        <v>253</v>
      </c>
      <c r="R142" s="17" t="s">
        <v>487</v>
      </c>
      <c r="S142" s="17" t="s">
        <v>147</v>
      </c>
      <c r="T142" s="17" t="s">
        <v>480</v>
      </c>
      <c r="U142" s="17" t="s">
        <v>251</v>
      </c>
      <c r="V142" s="17" t="s">
        <v>486</v>
      </c>
      <c r="W142" s="17" t="s">
        <v>485</v>
      </c>
    </row>
    <row r="143" spans="1:23" x14ac:dyDescent="0.45">
      <c r="A143" s="17" t="s">
        <v>254</v>
      </c>
      <c r="B143" s="22">
        <v>46155</v>
      </c>
      <c r="C143" s="17">
        <v>151505747</v>
      </c>
      <c r="D143" s="26">
        <f>IFERROR(SUMIF(Servicios_Promotores!$B:$B,C143,Servicios_Promotores!$R:$R),0)</f>
        <v>262.99999998999999</v>
      </c>
      <c r="E143" s="26">
        <f>IFERROR(SUMIF(Pago_GERE!$B:$B,C143,Pago_GERE!$R:$R),0)</f>
        <v>187.000000005</v>
      </c>
      <c r="F143" s="26">
        <f>IFERROR(SUMIF(Hoja2!$H:$H,C143,Hoja2!$U:$U),0)</f>
        <v>0</v>
      </c>
      <c r="G143" s="17">
        <f>IFERROR(VLOOKUP(C143,Hoja3!$C:$D,2,FALSE),"")</f>
        <v>0</v>
      </c>
      <c r="H143" s="22">
        <v>46160</v>
      </c>
      <c r="I143" s="17" t="s">
        <v>152</v>
      </c>
      <c r="J143" s="17" t="s">
        <v>165</v>
      </c>
      <c r="K143" s="17" t="s">
        <v>101</v>
      </c>
      <c r="L143" s="17">
        <v>10001013</v>
      </c>
      <c r="M143" s="17" t="s">
        <v>157</v>
      </c>
      <c r="N143" s="17">
        <v>25172504</v>
      </c>
      <c r="O143" s="17" t="s">
        <v>386</v>
      </c>
      <c r="P143" s="17" t="s">
        <v>387</v>
      </c>
      <c r="Q143" s="17" t="s">
        <v>253</v>
      </c>
      <c r="R143" s="17" t="s">
        <v>386</v>
      </c>
      <c r="S143" s="17" t="s">
        <v>147</v>
      </c>
      <c r="T143" s="17" t="s">
        <v>385</v>
      </c>
      <c r="U143" s="17" t="s">
        <v>251</v>
      </c>
      <c r="V143" s="17" t="s">
        <v>384</v>
      </c>
      <c r="W143" s="17" t="s">
        <v>383</v>
      </c>
    </row>
    <row r="144" spans="1:23" x14ac:dyDescent="0.45">
      <c r="A144" s="17" t="s">
        <v>254</v>
      </c>
      <c r="B144" s="22">
        <v>46157</v>
      </c>
      <c r="C144" s="17">
        <v>151509432</v>
      </c>
      <c r="D144" s="26">
        <f>IFERROR(SUMIF(Servicios_Promotores!$B:$B,C144,Servicios_Promotores!$R:$R),0)</f>
        <v>0</v>
      </c>
      <c r="E144" s="26">
        <f>IFERROR(SUMIF(Pago_GERE!$B:$B,C144,Pago_GERE!$R:$R),0)</f>
        <v>0</v>
      </c>
      <c r="F144" s="26">
        <f>IFERROR(SUMIF(Hoja2!$H:$H,C144,Hoja2!$U:$U),0)</f>
        <v>0</v>
      </c>
      <c r="G144" s="17">
        <f>IFERROR(VLOOKUP(C144,Hoja3!$C:$D,2,FALSE),"")</f>
        <v>0</v>
      </c>
      <c r="H144" s="22">
        <v>46161</v>
      </c>
      <c r="I144" s="17" t="s">
        <v>152</v>
      </c>
      <c r="J144" s="17" t="s">
        <v>165</v>
      </c>
      <c r="K144" s="17" t="s">
        <v>62</v>
      </c>
      <c r="L144" s="17">
        <v>10001013</v>
      </c>
      <c r="M144" s="17" t="s">
        <v>157</v>
      </c>
      <c r="N144" s="17">
        <v>25203819</v>
      </c>
      <c r="O144" s="17" t="s">
        <v>359</v>
      </c>
      <c r="P144" s="17" t="s">
        <v>188</v>
      </c>
      <c r="Q144" s="17" t="s">
        <v>253</v>
      </c>
      <c r="R144" s="17" t="s">
        <v>359</v>
      </c>
      <c r="S144" s="17" t="s">
        <v>147</v>
      </c>
      <c r="T144" s="17" t="s">
        <v>187</v>
      </c>
      <c r="U144" s="17" t="s">
        <v>251</v>
      </c>
      <c r="V144" s="17" t="s">
        <v>358</v>
      </c>
      <c r="W144" s="17" t="s">
        <v>357</v>
      </c>
    </row>
    <row r="145" spans="1:23" x14ac:dyDescent="0.45">
      <c r="A145" s="17"/>
      <c r="B145" s="22">
        <v>46154</v>
      </c>
      <c r="C145" s="17">
        <v>151503088</v>
      </c>
      <c r="D145" s="26">
        <f>IFERROR(SUMIF(Servicios_Promotores!$B:$B,C145,Servicios_Promotores!$R:$R),0)</f>
        <v>0</v>
      </c>
      <c r="E145" s="26">
        <f>IFERROR(SUMIF(Pago_GERE!$B:$B,C145,Pago_GERE!$R:$R),0)</f>
        <v>0</v>
      </c>
      <c r="F145" s="26">
        <f>IFERROR(SUMIF(Hoja2!$H:$H,C145,Hoja2!$U:$U),0)</f>
        <v>0</v>
      </c>
      <c r="G145" s="17">
        <f>IFERROR(VLOOKUP(C145,Hoja3!$C:$D,2,FALSE),"")</f>
        <v>0</v>
      </c>
      <c r="H145" s="17"/>
      <c r="I145" s="17" t="s">
        <v>158</v>
      </c>
      <c r="J145" s="17" t="s">
        <v>151</v>
      </c>
      <c r="K145" s="17" t="s">
        <v>101</v>
      </c>
      <c r="L145" s="17">
        <v>10001013</v>
      </c>
      <c r="M145" s="17" t="s">
        <v>157</v>
      </c>
      <c r="N145" s="17">
        <v>151503088</v>
      </c>
      <c r="O145" s="17"/>
      <c r="P145" s="17" t="s">
        <v>156</v>
      </c>
      <c r="Q145" s="17"/>
      <c r="R145" s="17"/>
      <c r="S145" s="17" t="s">
        <v>155</v>
      </c>
      <c r="T145" s="17" t="s">
        <v>154</v>
      </c>
      <c r="U145" s="17" t="s">
        <v>153</v>
      </c>
      <c r="V145" s="17"/>
      <c r="W145" s="17"/>
    </row>
    <row r="146" spans="1:23" x14ac:dyDescent="0.45">
      <c r="A146" s="17" t="s">
        <v>1065</v>
      </c>
      <c r="B146" s="22">
        <v>46167</v>
      </c>
      <c r="C146" s="17">
        <v>151523664</v>
      </c>
      <c r="D146" s="26">
        <f>IFERROR(SUMIF(Servicios_Promotores!$B:$B,C146,Servicios_Promotores!$R:$R),0)</f>
        <v>0</v>
      </c>
      <c r="E146" s="26">
        <f>IFERROR(SUMIF(Pago_GERE!$B:$B,C146,Pago_GERE!$R:$R),0)</f>
        <v>0</v>
      </c>
      <c r="F146" s="26">
        <f>IFERROR(SUMIF(Hoja2!$H:$H,C146,Hoja2!$U:$U),0)</f>
        <v>0</v>
      </c>
      <c r="G146" s="17" t="str">
        <f>IFERROR(VLOOKUP(C146,Hoja3!$C:$D,2,FALSE),"")</f>
        <v/>
      </c>
      <c r="H146" s="17"/>
      <c r="I146" s="17" t="s">
        <v>152</v>
      </c>
      <c r="J146" s="17" t="s">
        <v>165</v>
      </c>
      <c r="K146" s="17" t="s">
        <v>42</v>
      </c>
      <c r="L146" s="17">
        <v>10000064</v>
      </c>
      <c r="M146" s="17" t="s">
        <v>161</v>
      </c>
      <c r="N146" s="17">
        <v>25312509</v>
      </c>
      <c r="O146" s="17" t="s">
        <v>1071</v>
      </c>
      <c r="P146" s="17" t="s">
        <v>148</v>
      </c>
      <c r="Q146" s="17" t="s">
        <v>1072</v>
      </c>
      <c r="R146" s="17" t="s">
        <v>1071</v>
      </c>
      <c r="S146" s="17" t="s">
        <v>147</v>
      </c>
      <c r="T146" s="17" t="s">
        <v>146</v>
      </c>
      <c r="U146" s="17" t="s">
        <v>251</v>
      </c>
      <c r="V146" s="17"/>
      <c r="W146" s="17"/>
    </row>
    <row r="147" spans="1:23" x14ac:dyDescent="0.45">
      <c r="A147" s="17" t="s">
        <v>1065</v>
      </c>
      <c r="B147" s="22">
        <v>46167</v>
      </c>
      <c r="C147" s="17">
        <v>151524583</v>
      </c>
      <c r="D147" s="26">
        <f>IFERROR(SUMIF(Servicios_Promotores!$B:$B,C147,Servicios_Promotores!$R:$R),0)</f>
        <v>0</v>
      </c>
      <c r="E147" s="26">
        <f>IFERROR(SUMIF(Pago_GERE!$B:$B,C147,Pago_GERE!$R:$R),0)</f>
        <v>0</v>
      </c>
      <c r="F147" s="26">
        <f>IFERROR(SUMIF(Hoja2!$H:$H,C147,Hoja2!$U:$U),0)</f>
        <v>0</v>
      </c>
      <c r="G147" s="17" t="str">
        <f>IFERROR(VLOOKUP(C147,Hoja3!$C:$D,2,FALSE),"")</f>
        <v/>
      </c>
      <c r="H147" s="17"/>
      <c r="I147" s="17" t="s">
        <v>152</v>
      </c>
      <c r="J147" s="17" t="s">
        <v>165</v>
      </c>
      <c r="K147" s="17" t="s">
        <v>62</v>
      </c>
      <c r="L147" s="17">
        <v>10000064</v>
      </c>
      <c r="M147" s="17" t="s">
        <v>161</v>
      </c>
      <c r="N147" s="17">
        <v>25333762</v>
      </c>
      <c r="O147" s="17" t="s">
        <v>1069</v>
      </c>
      <c r="P147" s="17" t="s">
        <v>188</v>
      </c>
      <c r="Q147" s="17" t="s">
        <v>1070</v>
      </c>
      <c r="R147" s="17" t="s">
        <v>1069</v>
      </c>
      <c r="S147" s="17" t="s">
        <v>147</v>
      </c>
      <c r="T147" s="17" t="s">
        <v>187</v>
      </c>
      <c r="U147" s="17" t="s">
        <v>251</v>
      </c>
      <c r="V147" s="17"/>
      <c r="W147" s="17"/>
    </row>
    <row r="148" spans="1:23" x14ac:dyDescent="0.45">
      <c r="A148" s="17" t="s">
        <v>254</v>
      </c>
      <c r="B148" s="22">
        <v>46163</v>
      </c>
      <c r="C148" s="17">
        <v>151518826</v>
      </c>
      <c r="D148" s="26">
        <f>IFERROR(SUMIF(Servicios_Promotores!$B:$B,C148,Servicios_Promotores!$R:$R),0)</f>
        <v>0</v>
      </c>
      <c r="E148" s="26">
        <f>IFERROR(SUMIF(Pago_GERE!$B:$B,C148,Pago_GERE!$R:$R),0)</f>
        <v>0</v>
      </c>
      <c r="F148" s="26">
        <f>IFERROR(SUMIF(Hoja2!$H:$H,C148,Hoja2!$U:$U),0)</f>
        <v>0</v>
      </c>
      <c r="G148" s="17" t="str">
        <f>IFERROR(VLOOKUP(C148,Hoja3!$C:$D,2,FALSE),"")</f>
        <v/>
      </c>
      <c r="H148" s="22">
        <v>46168</v>
      </c>
      <c r="I148" s="17" t="s">
        <v>163</v>
      </c>
      <c r="J148" s="17" t="s">
        <v>151</v>
      </c>
      <c r="K148" s="17" t="s">
        <v>39</v>
      </c>
      <c r="L148" s="17">
        <v>10000064</v>
      </c>
      <c r="M148" s="17" t="s">
        <v>161</v>
      </c>
      <c r="N148" s="17">
        <v>25266822</v>
      </c>
      <c r="O148" s="17" t="s">
        <v>328</v>
      </c>
      <c r="P148" s="17" t="s">
        <v>170</v>
      </c>
      <c r="Q148" s="17" t="s">
        <v>253</v>
      </c>
      <c r="R148" s="17" t="s">
        <v>328</v>
      </c>
      <c r="S148" s="17" t="s">
        <v>147</v>
      </c>
      <c r="T148" s="17" t="s">
        <v>169</v>
      </c>
      <c r="U148" s="17" t="s">
        <v>251</v>
      </c>
      <c r="V148" s="17"/>
      <c r="W148" s="17"/>
    </row>
    <row r="149" spans="1:23" x14ac:dyDescent="0.45">
      <c r="A149" s="17" t="s">
        <v>1065</v>
      </c>
      <c r="B149" s="22">
        <v>46041</v>
      </c>
      <c r="C149" s="17">
        <v>151304785</v>
      </c>
      <c r="D149" s="26">
        <f>IFERROR(SUMIF(Servicios_Promotores!$B:$B,C149,Servicios_Promotores!$R:$R),0)</f>
        <v>0</v>
      </c>
      <c r="E149" s="26">
        <f>IFERROR(SUMIF(Pago_GERE!$B:$B,C149,Pago_GERE!$R:$R),0)</f>
        <v>0</v>
      </c>
      <c r="F149" s="26">
        <f>IFERROR(SUMIF(Hoja2!$H:$H,C149,Hoja2!$U:$U),0)</f>
        <v>0</v>
      </c>
      <c r="G149" s="17" t="str">
        <f>IFERROR(VLOOKUP(C149,Hoja3!$C:$D,2,FALSE),"")</f>
        <v>ALEJANDRO CORREA</v>
      </c>
      <c r="H149" s="17"/>
      <c r="I149" s="17" t="s">
        <v>163</v>
      </c>
      <c r="J149" s="17" t="s">
        <v>151</v>
      </c>
      <c r="K149" s="17" t="s">
        <v>39</v>
      </c>
      <c r="L149" s="17">
        <v>10001013</v>
      </c>
      <c r="M149" s="17" t="s">
        <v>881</v>
      </c>
      <c r="N149" s="17">
        <v>21825008</v>
      </c>
      <c r="O149" s="17" t="s">
        <v>1066</v>
      </c>
      <c r="P149" s="17" t="s">
        <v>170</v>
      </c>
      <c r="Q149" s="17" t="s">
        <v>1064</v>
      </c>
      <c r="R149" s="17" t="s">
        <v>1066</v>
      </c>
      <c r="S149" s="17" t="s">
        <v>147</v>
      </c>
      <c r="T149" s="17" t="s">
        <v>169</v>
      </c>
      <c r="U149" s="17" t="s">
        <v>251</v>
      </c>
      <c r="V149" s="17" t="s">
        <v>210</v>
      </c>
      <c r="W149" s="17"/>
    </row>
    <row r="150" spans="1:23" x14ac:dyDescent="0.45">
      <c r="A150" s="17" t="s">
        <v>254</v>
      </c>
      <c r="B150" s="22">
        <v>46044</v>
      </c>
      <c r="C150" s="17">
        <v>151310699</v>
      </c>
      <c r="D150" s="26">
        <f>IFERROR(SUMIF(Servicios_Promotores!$B:$B,C150,Servicios_Promotores!$R:$R),0)</f>
        <v>0</v>
      </c>
      <c r="E150" s="26">
        <f>IFERROR(SUMIF(Pago_GERE!$B:$B,C150,Pago_GERE!$R:$R),0)</f>
        <v>0</v>
      </c>
      <c r="F150" s="26">
        <f>IFERROR(SUMIF(Hoja2!$H:$H,C150,Hoja2!$U:$U),0)</f>
        <v>1537</v>
      </c>
      <c r="G150" s="17" t="str">
        <f>IFERROR(VLOOKUP(C150,Hoja3!$C:$D,2,FALSE),"")</f>
        <v>ALEJANDRO CORREA</v>
      </c>
      <c r="H150" s="22">
        <v>46046</v>
      </c>
      <c r="I150" s="17" t="s">
        <v>152</v>
      </c>
      <c r="J150" s="17" t="s">
        <v>165</v>
      </c>
      <c r="K150" s="17" t="s">
        <v>62</v>
      </c>
      <c r="L150" s="17">
        <v>10001013</v>
      </c>
      <c r="M150" s="17" t="s">
        <v>881</v>
      </c>
      <c r="N150" s="17">
        <v>21917774</v>
      </c>
      <c r="O150" s="17" t="s">
        <v>1018</v>
      </c>
      <c r="P150" s="17" t="s">
        <v>392</v>
      </c>
      <c r="Q150" s="17" t="s">
        <v>253</v>
      </c>
      <c r="R150" s="17" t="s">
        <v>1018</v>
      </c>
      <c r="S150" s="17" t="s">
        <v>147</v>
      </c>
      <c r="T150" s="17" t="s">
        <v>390</v>
      </c>
      <c r="U150" s="17" t="s">
        <v>251</v>
      </c>
      <c r="V150" s="17" t="s">
        <v>1017</v>
      </c>
      <c r="W150" s="17" t="s">
        <v>1016</v>
      </c>
    </row>
    <row r="151" spans="1:23" x14ac:dyDescent="0.45">
      <c r="A151" s="17" t="s">
        <v>254</v>
      </c>
      <c r="B151" s="22">
        <v>46042</v>
      </c>
      <c r="C151" s="17">
        <v>151306053</v>
      </c>
      <c r="D151" s="26">
        <f>IFERROR(SUMIF(Servicios_Promotores!$B:$B,C151,Servicios_Promotores!$R:$R),0)</f>
        <v>0</v>
      </c>
      <c r="E151" s="26">
        <f>IFERROR(SUMIF(Pago_GERE!$B:$B,C151,Pago_GERE!$R:$R),0)</f>
        <v>0</v>
      </c>
      <c r="F151" s="26">
        <f>IFERROR(SUMIF(Hoja2!$H:$H,C151,Hoja2!$U:$U),0)</f>
        <v>0</v>
      </c>
      <c r="G151" s="17" t="str">
        <f>IFERROR(VLOOKUP(C151,Hoja3!$C:$D,2,FALSE),"")</f>
        <v>ALEJANDRO CORREA</v>
      </c>
      <c r="H151" s="22">
        <v>46044</v>
      </c>
      <c r="I151" s="17" t="s">
        <v>152</v>
      </c>
      <c r="J151" s="17" t="s">
        <v>165</v>
      </c>
      <c r="K151" s="17" t="s">
        <v>31</v>
      </c>
      <c r="L151" s="17">
        <v>10001013</v>
      </c>
      <c r="M151" s="17" t="s">
        <v>881</v>
      </c>
      <c r="N151" s="17">
        <v>21884728</v>
      </c>
      <c r="O151" s="17" t="s">
        <v>999</v>
      </c>
      <c r="P151" s="17" t="s">
        <v>963</v>
      </c>
      <c r="Q151" s="17" t="s">
        <v>253</v>
      </c>
      <c r="R151" s="17" t="s">
        <v>999</v>
      </c>
      <c r="S151" s="17" t="s">
        <v>147</v>
      </c>
      <c r="T151" s="17" t="s">
        <v>969</v>
      </c>
      <c r="U151" s="17" t="s">
        <v>251</v>
      </c>
      <c r="V151" s="17" t="s">
        <v>998</v>
      </c>
      <c r="W151" s="17" t="s">
        <v>967</v>
      </c>
    </row>
    <row r="152" spans="1:23" x14ac:dyDescent="0.45">
      <c r="A152" s="17" t="s">
        <v>254</v>
      </c>
      <c r="B152" s="22">
        <v>46042</v>
      </c>
      <c r="C152" s="17">
        <v>151306689</v>
      </c>
      <c r="D152" s="26">
        <f>IFERROR(SUMIF(Servicios_Promotores!$B:$B,C152,Servicios_Promotores!$R:$R),0)</f>
        <v>0</v>
      </c>
      <c r="E152" s="26">
        <f>IFERROR(SUMIF(Pago_GERE!$B:$B,C152,Pago_GERE!$R:$R),0)</f>
        <v>0</v>
      </c>
      <c r="F152" s="26">
        <f>IFERROR(SUMIF(Hoja2!$H:$H,C152,Hoja2!$U:$U),0)</f>
        <v>0</v>
      </c>
      <c r="G152" s="17" t="str">
        <f>IFERROR(VLOOKUP(C152,Hoja3!$C:$D,2,FALSE),"")</f>
        <v>ALEJANDRO CORREA</v>
      </c>
      <c r="H152" s="22">
        <v>46047</v>
      </c>
      <c r="I152" s="17" t="s">
        <v>197</v>
      </c>
      <c r="J152" s="17" t="s">
        <v>165</v>
      </c>
      <c r="K152" s="17" t="s">
        <v>31</v>
      </c>
      <c r="L152" s="17">
        <v>10001013</v>
      </c>
      <c r="M152" s="17" t="s">
        <v>881</v>
      </c>
      <c r="N152" s="17">
        <v>21930887</v>
      </c>
      <c r="O152" s="17" t="s">
        <v>992</v>
      </c>
      <c r="P152" s="17" t="s">
        <v>963</v>
      </c>
      <c r="Q152" s="17" t="s">
        <v>253</v>
      </c>
      <c r="R152" s="17" t="s">
        <v>992</v>
      </c>
      <c r="S152" s="17" t="s">
        <v>147</v>
      </c>
      <c r="T152" s="17" t="s">
        <v>969</v>
      </c>
      <c r="U152" s="17" t="s">
        <v>251</v>
      </c>
      <c r="V152" s="17" t="s">
        <v>991</v>
      </c>
      <c r="W152" s="17" t="s">
        <v>990</v>
      </c>
    </row>
    <row r="153" spans="1:23" x14ac:dyDescent="0.45">
      <c r="A153" s="17" t="s">
        <v>254</v>
      </c>
      <c r="B153" s="22">
        <v>46043</v>
      </c>
      <c r="C153" s="17">
        <v>151309258</v>
      </c>
      <c r="D153" s="26">
        <f>IFERROR(SUMIF(Servicios_Promotores!$B:$B,C153,Servicios_Promotores!$R:$R),0)</f>
        <v>0</v>
      </c>
      <c r="E153" s="26">
        <f>IFERROR(SUMIF(Pago_GERE!$B:$B,C153,Pago_GERE!$R:$R),0)</f>
        <v>0</v>
      </c>
      <c r="F153" s="26">
        <f>IFERROR(SUMIF(Hoja2!$H:$H,C153,Hoja2!$U:$U),0)</f>
        <v>0</v>
      </c>
      <c r="G153" s="17" t="str">
        <f>IFERROR(VLOOKUP(C153,Hoja3!$C:$D,2,FALSE),"")</f>
        <v>ALEJANDRO CORREA</v>
      </c>
      <c r="H153" s="22">
        <v>46058</v>
      </c>
      <c r="I153" s="17" t="s">
        <v>152</v>
      </c>
      <c r="J153" s="17" t="s">
        <v>165</v>
      </c>
      <c r="K153" s="17" t="s">
        <v>42</v>
      </c>
      <c r="L153" s="17">
        <v>10001013</v>
      </c>
      <c r="M153" s="17" t="s">
        <v>239</v>
      </c>
      <c r="N153" s="17">
        <v>21874665</v>
      </c>
      <c r="O153" s="17" t="s">
        <v>238</v>
      </c>
      <c r="P153" s="17" t="s">
        <v>148</v>
      </c>
      <c r="Q153" s="17" t="s">
        <v>253</v>
      </c>
      <c r="R153" s="17" t="s">
        <v>238</v>
      </c>
      <c r="S153" s="17" t="s">
        <v>147</v>
      </c>
      <c r="T153" s="17" t="s">
        <v>146</v>
      </c>
      <c r="U153" s="17" t="s">
        <v>251</v>
      </c>
      <c r="V153" s="17" t="s">
        <v>237</v>
      </c>
      <c r="W153" s="17" t="s">
        <v>236</v>
      </c>
    </row>
    <row r="154" spans="1:23" x14ac:dyDescent="0.45">
      <c r="A154" s="17" t="s">
        <v>254</v>
      </c>
      <c r="B154" s="22">
        <v>46038</v>
      </c>
      <c r="C154" s="17">
        <v>151300111</v>
      </c>
      <c r="D154" s="26">
        <f>IFERROR(SUMIF(Servicios_Promotores!$B:$B,C154,Servicios_Promotores!$R:$R),0)</f>
        <v>0</v>
      </c>
      <c r="E154" s="26">
        <f>IFERROR(SUMIF(Pago_GERE!$B:$B,C154,Pago_GERE!$R:$R),0)</f>
        <v>0</v>
      </c>
      <c r="F154" s="26">
        <f>IFERROR(SUMIF(Hoja2!$H:$H,C154,Hoja2!$U:$U),0)</f>
        <v>0</v>
      </c>
      <c r="G154" s="17" t="str">
        <f>IFERROR(VLOOKUP(C154,Hoja3!$C:$D,2,FALSE),"")</f>
        <v>ALEJANDRO CORREA</v>
      </c>
      <c r="H154" s="22">
        <v>46041</v>
      </c>
      <c r="I154" s="17" t="s">
        <v>152</v>
      </c>
      <c r="J154" s="17" t="s">
        <v>151</v>
      </c>
      <c r="K154" s="17" t="s">
        <v>42</v>
      </c>
      <c r="L154" s="17">
        <v>10001013</v>
      </c>
      <c r="M154" s="17" t="s">
        <v>239</v>
      </c>
      <c r="N154" s="17">
        <v>21776036</v>
      </c>
      <c r="O154" s="17" t="s">
        <v>971</v>
      </c>
      <c r="P154" s="17" t="s">
        <v>148</v>
      </c>
      <c r="Q154" s="17" t="s">
        <v>253</v>
      </c>
      <c r="R154" s="17" t="s">
        <v>971</v>
      </c>
      <c r="S154" s="17" t="s">
        <v>147</v>
      </c>
      <c r="T154" s="17" t="s">
        <v>146</v>
      </c>
      <c r="U154" s="17" t="s">
        <v>251</v>
      </c>
      <c r="V154" s="17" t="s">
        <v>913</v>
      </c>
      <c r="W154" s="17" t="s">
        <v>912</v>
      </c>
    </row>
    <row r="155" spans="1:23" x14ac:dyDescent="0.45">
      <c r="A155" s="17"/>
      <c r="B155" s="22">
        <v>46043</v>
      </c>
      <c r="C155" s="17">
        <v>151309200</v>
      </c>
      <c r="D155" s="26">
        <f>IFERROR(SUMIF(Servicios_Promotores!$B:$B,C155,Servicios_Promotores!$R:$R),0)</f>
        <v>0</v>
      </c>
      <c r="E155" s="26">
        <f>IFERROR(SUMIF(Pago_GERE!$B:$B,C155,Pago_GERE!$R:$R),0)</f>
        <v>0</v>
      </c>
      <c r="F155" s="26">
        <f>IFERROR(SUMIF(Hoja2!$H:$H,C155,Hoja2!$U:$U),0)</f>
        <v>0</v>
      </c>
      <c r="G155" s="17" t="str">
        <f>IFERROR(VLOOKUP(C155,Hoja3!$C:$D,2,FALSE),"")</f>
        <v>ALEJANDRO CORREA</v>
      </c>
      <c r="H155" s="17"/>
      <c r="I155" s="17" t="s">
        <v>204</v>
      </c>
      <c r="J155" s="17" t="s">
        <v>165</v>
      </c>
      <c r="K155" s="17" t="s">
        <v>42</v>
      </c>
      <c r="L155" s="17">
        <v>10001013</v>
      </c>
      <c r="M155" s="17" t="s">
        <v>239</v>
      </c>
      <c r="N155" s="17">
        <v>151309200</v>
      </c>
      <c r="O155" s="17" t="s">
        <v>238</v>
      </c>
      <c r="P155" s="17" t="s">
        <v>148</v>
      </c>
      <c r="Q155" s="17"/>
      <c r="R155" s="17"/>
      <c r="S155" s="17" t="s">
        <v>155</v>
      </c>
      <c r="T155" s="17" t="s">
        <v>146</v>
      </c>
      <c r="U155" s="17" t="s">
        <v>145</v>
      </c>
      <c r="V155" s="17" t="s">
        <v>237</v>
      </c>
      <c r="W155" s="17" t="s">
        <v>236</v>
      </c>
    </row>
    <row r="156" spans="1:23" x14ac:dyDescent="0.45">
      <c r="A156" s="17" t="s">
        <v>1065</v>
      </c>
      <c r="B156" s="22">
        <v>46042</v>
      </c>
      <c r="C156" s="17">
        <v>151307192</v>
      </c>
      <c r="D156" s="26">
        <f>IFERROR(SUMIF(Servicios_Promotores!$B:$B,C156,Servicios_Promotores!$R:$R),0)</f>
        <v>0</v>
      </c>
      <c r="E156" s="26">
        <f>IFERROR(SUMIF(Pago_GERE!$B:$B,C156,Pago_GERE!$R:$R),0)</f>
        <v>0</v>
      </c>
      <c r="F156" s="26">
        <f>IFERROR(SUMIF(Hoja2!$H:$H,C156,Hoja2!$U:$U),0)</f>
        <v>0</v>
      </c>
      <c r="G156" s="17" t="str">
        <f>IFERROR(VLOOKUP(C156,Hoja3!$C:$D,2,FALSE),"")</f>
        <v>ALEJANDRO CORREA</v>
      </c>
      <c r="H156" s="17"/>
      <c r="I156" s="17" t="s">
        <v>152</v>
      </c>
      <c r="J156" s="17" t="s">
        <v>151</v>
      </c>
      <c r="K156" s="17" t="s">
        <v>42</v>
      </c>
      <c r="L156" s="17">
        <v>10001013</v>
      </c>
      <c r="M156" s="17" t="s">
        <v>207</v>
      </c>
      <c r="N156" s="17">
        <v>21849231</v>
      </c>
      <c r="O156" s="17" t="s">
        <v>1066</v>
      </c>
      <c r="P156" s="17" t="s">
        <v>224</v>
      </c>
      <c r="Q156" s="17" t="s">
        <v>1064</v>
      </c>
      <c r="R156" s="17" t="s">
        <v>1066</v>
      </c>
      <c r="S156" s="17" t="s">
        <v>147</v>
      </c>
      <c r="T156" s="17" t="s">
        <v>223</v>
      </c>
      <c r="U156" s="17" t="s">
        <v>251</v>
      </c>
      <c r="V156" s="17" t="s">
        <v>210</v>
      </c>
      <c r="W156" s="17"/>
    </row>
    <row r="157" spans="1:23" x14ac:dyDescent="0.45">
      <c r="A157" s="17" t="s">
        <v>254</v>
      </c>
      <c r="B157" s="22">
        <v>46044</v>
      </c>
      <c r="C157" s="17">
        <v>151309793</v>
      </c>
      <c r="D157" s="26">
        <f>IFERROR(SUMIF(Servicios_Promotores!$B:$B,C157,Servicios_Promotores!$R:$R),0)</f>
        <v>0</v>
      </c>
      <c r="E157" s="26">
        <f>IFERROR(SUMIF(Pago_GERE!$B:$B,C157,Pago_GERE!$R:$R),0)</f>
        <v>0</v>
      </c>
      <c r="F157" s="26">
        <f>IFERROR(SUMIF(Hoja2!$H:$H,C157,Hoja2!$U:$U),0)</f>
        <v>0</v>
      </c>
      <c r="G157" s="17" t="str">
        <f>IFERROR(VLOOKUP(C157,Hoja3!$C:$D,2,FALSE),"")</f>
        <v>ALEJANDRO CORREA</v>
      </c>
      <c r="H157" s="22">
        <v>46045</v>
      </c>
      <c r="I157" s="17" t="s">
        <v>158</v>
      </c>
      <c r="J157" s="17" t="s">
        <v>151</v>
      </c>
      <c r="K157" s="17" t="s">
        <v>39</v>
      </c>
      <c r="L157" s="17">
        <v>10001013</v>
      </c>
      <c r="M157" s="17" t="s">
        <v>207</v>
      </c>
      <c r="N157" s="17">
        <v>21878613</v>
      </c>
      <c r="O157" s="17" t="s">
        <v>1020</v>
      </c>
      <c r="P157" s="17" t="s">
        <v>170</v>
      </c>
      <c r="Q157" s="17" t="s">
        <v>253</v>
      </c>
      <c r="R157" s="17" t="s">
        <v>1020</v>
      </c>
      <c r="S157" s="17" t="s">
        <v>155</v>
      </c>
      <c r="T157" s="17" t="s">
        <v>169</v>
      </c>
      <c r="U157" s="17" t="s">
        <v>251</v>
      </c>
      <c r="V157" s="17" t="s">
        <v>1019</v>
      </c>
      <c r="W157" s="17" t="s">
        <v>1007</v>
      </c>
    </row>
    <row r="158" spans="1:23" x14ac:dyDescent="0.45">
      <c r="A158" s="17" t="s">
        <v>254</v>
      </c>
      <c r="B158" s="22">
        <v>46043</v>
      </c>
      <c r="C158" s="17">
        <v>151309427</v>
      </c>
      <c r="D158" s="26">
        <f>IFERROR(SUMIF(Servicios_Promotores!$B:$B,C158,Servicios_Promotores!$R:$R),0)</f>
        <v>0</v>
      </c>
      <c r="E158" s="26">
        <f>IFERROR(SUMIF(Pago_GERE!$B:$B,C158,Pago_GERE!$R:$R),0)</f>
        <v>0</v>
      </c>
      <c r="F158" s="26">
        <f>IFERROR(SUMIF(Hoja2!$H:$H,C158,Hoja2!$U:$U),0)</f>
        <v>898</v>
      </c>
      <c r="G158" s="17" t="str">
        <f>IFERROR(VLOOKUP(C158,Hoja3!$C:$D,2,FALSE),"")</f>
        <v>ALEJANDRO CORREA</v>
      </c>
      <c r="H158" s="22">
        <v>46044</v>
      </c>
      <c r="I158" s="17" t="s">
        <v>158</v>
      </c>
      <c r="J158" s="17" t="s">
        <v>151</v>
      </c>
      <c r="K158" s="17" t="s">
        <v>42</v>
      </c>
      <c r="L158" s="17">
        <v>10001013</v>
      </c>
      <c r="M158" s="17" t="s">
        <v>207</v>
      </c>
      <c r="N158" s="17">
        <v>21872548</v>
      </c>
      <c r="O158" s="17" t="s">
        <v>1012</v>
      </c>
      <c r="P158" s="17" t="s">
        <v>148</v>
      </c>
      <c r="Q158" s="17" t="s">
        <v>253</v>
      </c>
      <c r="R158" s="17" t="s">
        <v>1012</v>
      </c>
      <c r="S158" s="17" t="s">
        <v>155</v>
      </c>
      <c r="T158" s="17" t="s">
        <v>146</v>
      </c>
      <c r="U158" s="17" t="s">
        <v>251</v>
      </c>
      <c r="V158" s="17" t="s">
        <v>1011</v>
      </c>
      <c r="W158" s="17" t="s">
        <v>1010</v>
      </c>
    </row>
    <row r="159" spans="1:23" x14ac:dyDescent="0.45">
      <c r="A159" s="17" t="s">
        <v>254</v>
      </c>
      <c r="B159" s="22">
        <v>46043</v>
      </c>
      <c r="C159" s="17">
        <v>151309464</v>
      </c>
      <c r="D159" s="26">
        <f>IFERROR(SUMIF(Servicios_Promotores!$B:$B,C159,Servicios_Promotores!$R:$R),0)</f>
        <v>0</v>
      </c>
      <c r="E159" s="26">
        <f>IFERROR(SUMIF(Pago_GERE!$B:$B,C159,Pago_GERE!$R:$R),0)</f>
        <v>0</v>
      </c>
      <c r="F159" s="26">
        <f>IFERROR(SUMIF(Hoja2!$H:$H,C159,Hoja2!$U:$U),0)</f>
        <v>0</v>
      </c>
      <c r="G159" s="17" t="str">
        <f>IFERROR(VLOOKUP(C159,Hoja3!$C:$D,2,FALSE),"")</f>
        <v>ALEJANDRO CORREA</v>
      </c>
      <c r="H159" s="22">
        <v>46047</v>
      </c>
      <c r="I159" s="17" t="s">
        <v>158</v>
      </c>
      <c r="J159" s="17" t="s">
        <v>151</v>
      </c>
      <c r="K159" s="17" t="s">
        <v>39</v>
      </c>
      <c r="L159" s="17">
        <v>10001013</v>
      </c>
      <c r="M159" s="17" t="s">
        <v>207</v>
      </c>
      <c r="N159" s="17">
        <v>21877274</v>
      </c>
      <c r="O159" s="17" t="s">
        <v>1009</v>
      </c>
      <c r="P159" s="17" t="s">
        <v>170</v>
      </c>
      <c r="Q159" s="17" t="s">
        <v>253</v>
      </c>
      <c r="R159" s="17" t="s">
        <v>1009</v>
      </c>
      <c r="S159" s="17" t="s">
        <v>155</v>
      </c>
      <c r="T159" s="17" t="s">
        <v>169</v>
      </c>
      <c r="U159" s="17" t="s">
        <v>251</v>
      </c>
      <c r="V159" s="17" t="s">
        <v>1008</v>
      </c>
      <c r="W159" s="17" t="s">
        <v>1007</v>
      </c>
    </row>
    <row r="160" spans="1:23" x14ac:dyDescent="0.45">
      <c r="A160" s="17" t="s">
        <v>254</v>
      </c>
      <c r="B160" s="22">
        <v>46042</v>
      </c>
      <c r="C160" s="17">
        <v>151307389</v>
      </c>
      <c r="D160" s="26">
        <f>IFERROR(SUMIF(Servicios_Promotores!$B:$B,C160,Servicios_Promotores!$R:$R),0)</f>
        <v>0</v>
      </c>
      <c r="E160" s="26">
        <f>IFERROR(SUMIF(Pago_GERE!$B:$B,C160,Pago_GERE!$R:$R),0)</f>
        <v>0</v>
      </c>
      <c r="F160" s="26">
        <f>IFERROR(SUMIF(Hoja2!$H:$H,C160,Hoja2!$U:$U),0)</f>
        <v>1747</v>
      </c>
      <c r="G160" s="17" t="str">
        <f>IFERROR(VLOOKUP(C160,Hoja3!$C:$D,2,FALSE),"")</f>
        <v>ALEJANDRO CORREA</v>
      </c>
      <c r="H160" s="22">
        <v>46045</v>
      </c>
      <c r="I160" s="17" t="s">
        <v>158</v>
      </c>
      <c r="J160" s="17" t="s">
        <v>151</v>
      </c>
      <c r="K160" s="17" t="s">
        <v>31</v>
      </c>
      <c r="L160" s="17">
        <v>10001013</v>
      </c>
      <c r="M160" s="17" t="s">
        <v>207</v>
      </c>
      <c r="N160" s="17">
        <v>21849272</v>
      </c>
      <c r="O160" s="17" t="s">
        <v>996</v>
      </c>
      <c r="P160" s="17" t="s">
        <v>963</v>
      </c>
      <c r="Q160" s="17" t="s">
        <v>253</v>
      </c>
      <c r="R160" s="17" t="s">
        <v>996</v>
      </c>
      <c r="S160" s="17" t="s">
        <v>155</v>
      </c>
      <c r="T160" s="17" t="s">
        <v>969</v>
      </c>
      <c r="U160" s="17" t="s">
        <v>251</v>
      </c>
      <c r="V160" s="17" t="s">
        <v>995</v>
      </c>
      <c r="W160" s="17" t="s">
        <v>721</v>
      </c>
    </row>
    <row r="161" spans="1:23" x14ac:dyDescent="0.45">
      <c r="A161" s="17" t="s">
        <v>254</v>
      </c>
      <c r="B161" s="22">
        <v>46042</v>
      </c>
      <c r="C161" s="17">
        <v>151307275</v>
      </c>
      <c r="D161" s="26">
        <f>IFERROR(SUMIF(Servicios_Promotores!$B:$B,C161,Servicios_Promotores!$R:$R),0)</f>
        <v>0</v>
      </c>
      <c r="E161" s="26">
        <f>IFERROR(SUMIF(Pago_GERE!$B:$B,C161,Pago_GERE!$R:$R),0)</f>
        <v>0</v>
      </c>
      <c r="F161" s="26">
        <f>IFERROR(SUMIF(Hoja2!$H:$H,C161,Hoja2!$U:$U),0)</f>
        <v>0</v>
      </c>
      <c r="G161" s="17" t="str">
        <f>IFERROR(VLOOKUP(C161,Hoja3!$C:$D,2,FALSE),"")</f>
        <v>ALEJANDRO CORREA</v>
      </c>
      <c r="H161" s="22">
        <v>46045</v>
      </c>
      <c r="I161" s="17" t="s">
        <v>152</v>
      </c>
      <c r="J161" s="17" t="s">
        <v>165</v>
      </c>
      <c r="K161" s="17" t="s">
        <v>42</v>
      </c>
      <c r="L161" s="17">
        <v>10001013</v>
      </c>
      <c r="M161" s="17" t="s">
        <v>207</v>
      </c>
      <c r="N161" s="17">
        <v>21848429</v>
      </c>
      <c r="O161" s="17" t="s">
        <v>994</v>
      </c>
      <c r="P161" s="17" t="s">
        <v>224</v>
      </c>
      <c r="Q161" s="17" t="s">
        <v>253</v>
      </c>
      <c r="R161" s="17" t="s">
        <v>994</v>
      </c>
      <c r="S161" s="17" t="s">
        <v>147</v>
      </c>
      <c r="T161" s="17" t="s">
        <v>223</v>
      </c>
      <c r="U161" s="17" t="s">
        <v>251</v>
      </c>
      <c r="V161" s="17" t="s">
        <v>993</v>
      </c>
      <c r="W161" s="17" t="s">
        <v>409</v>
      </c>
    </row>
    <row r="162" spans="1:23" x14ac:dyDescent="0.45">
      <c r="A162" s="17" t="s">
        <v>254</v>
      </c>
      <c r="B162" s="22">
        <v>46041</v>
      </c>
      <c r="C162" s="17">
        <v>151304957</v>
      </c>
      <c r="D162" s="26">
        <f>IFERROR(SUMIF(Servicios_Promotores!$B:$B,C162,Servicios_Promotores!$R:$R),0)</f>
        <v>0</v>
      </c>
      <c r="E162" s="26">
        <f>IFERROR(SUMIF(Pago_GERE!$B:$B,C162,Pago_GERE!$R:$R),0)</f>
        <v>0</v>
      </c>
      <c r="F162" s="26">
        <f>IFERROR(SUMIF(Hoja2!$H:$H,C162,Hoja2!$U:$U),0)</f>
        <v>0</v>
      </c>
      <c r="G162" s="17" t="str">
        <f>IFERROR(VLOOKUP(C162,Hoja3!$C:$D,2,FALSE),"")</f>
        <v>ALEJANDRO CORREA</v>
      </c>
      <c r="H162" s="22">
        <v>46070</v>
      </c>
      <c r="I162" s="17" t="s">
        <v>152</v>
      </c>
      <c r="J162" s="17" t="s">
        <v>151</v>
      </c>
      <c r="K162" s="17" t="s">
        <v>42</v>
      </c>
      <c r="L162" s="17">
        <v>10001013</v>
      </c>
      <c r="M162" s="17" t="s">
        <v>207</v>
      </c>
      <c r="N162" s="17">
        <v>21819460</v>
      </c>
      <c r="O162" s="17" t="s">
        <v>986</v>
      </c>
      <c r="P162" s="17" t="s">
        <v>224</v>
      </c>
      <c r="Q162" s="17" t="s">
        <v>253</v>
      </c>
      <c r="R162" s="17" t="s">
        <v>986</v>
      </c>
      <c r="S162" s="17" t="s">
        <v>147</v>
      </c>
      <c r="T162" s="17" t="s">
        <v>223</v>
      </c>
      <c r="U162" s="17" t="s">
        <v>251</v>
      </c>
      <c r="V162" s="17" t="s">
        <v>829</v>
      </c>
      <c r="W162" s="17" t="s">
        <v>409</v>
      </c>
    </row>
    <row r="163" spans="1:23" x14ac:dyDescent="0.45">
      <c r="A163" s="17" t="s">
        <v>254</v>
      </c>
      <c r="B163" s="22">
        <v>46041</v>
      </c>
      <c r="C163" s="17">
        <v>151305002</v>
      </c>
      <c r="D163" s="26">
        <f>IFERROR(SUMIF(Servicios_Promotores!$B:$B,C163,Servicios_Promotores!$R:$R),0)</f>
        <v>0</v>
      </c>
      <c r="E163" s="26">
        <f>IFERROR(SUMIF(Pago_GERE!$B:$B,C163,Pago_GERE!$R:$R),0)</f>
        <v>0</v>
      </c>
      <c r="F163" s="26">
        <f>IFERROR(SUMIF(Hoja2!$H:$H,C163,Hoja2!$U:$U),0)</f>
        <v>0</v>
      </c>
      <c r="G163" s="17" t="str">
        <f>IFERROR(VLOOKUP(C163,Hoja3!$C:$D,2,FALSE),"")</f>
        <v>ALEJANDRO CORREA</v>
      </c>
      <c r="H163" s="22">
        <v>46048</v>
      </c>
      <c r="I163" s="17" t="s">
        <v>158</v>
      </c>
      <c r="J163" s="17" t="s">
        <v>151</v>
      </c>
      <c r="K163" s="17" t="s">
        <v>61</v>
      </c>
      <c r="L163" s="17">
        <v>10001013</v>
      </c>
      <c r="M163" s="17" t="s">
        <v>207</v>
      </c>
      <c r="N163" s="17">
        <v>21818292</v>
      </c>
      <c r="O163" s="17" t="s">
        <v>975</v>
      </c>
      <c r="P163" s="17" t="s">
        <v>598</v>
      </c>
      <c r="Q163" s="17" t="s">
        <v>253</v>
      </c>
      <c r="R163" s="17" t="s">
        <v>975</v>
      </c>
      <c r="S163" s="17" t="s">
        <v>155</v>
      </c>
      <c r="T163" s="17" t="s">
        <v>587</v>
      </c>
      <c r="U163" s="17" t="s">
        <v>251</v>
      </c>
      <c r="V163" s="17" t="s">
        <v>974</v>
      </c>
      <c r="W163" s="17" t="s">
        <v>441</v>
      </c>
    </row>
    <row r="164" spans="1:23" x14ac:dyDescent="0.45">
      <c r="A164" s="17"/>
      <c r="B164" s="22">
        <v>46043</v>
      </c>
      <c r="C164" s="17">
        <v>151309387</v>
      </c>
      <c r="D164" s="26">
        <f>IFERROR(SUMIF(Servicios_Promotores!$B:$B,C164,Servicios_Promotores!$R:$R),0)</f>
        <v>0</v>
      </c>
      <c r="E164" s="26">
        <f>IFERROR(SUMIF(Pago_GERE!$B:$B,C164,Pago_GERE!$R:$R),0)</f>
        <v>0</v>
      </c>
      <c r="F164" s="26">
        <f>IFERROR(SUMIF(Hoja2!$H:$H,C164,Hoja2!$U:$U),0)</f>
        <v>0</v>
      </c>
      <c r="G164" s="17" t="str">
        <f>IFERROR(VLOOKUP(C164,Hoja3!$C:$D,2,FALSE),"")</f>
        <v>ALEJANDRO CORREA</v>
      </c>
      <c r="H164" s="17"/>
      <c r="I164" s="17" t="s">
        <v>152</v>
      </c>
      <c r="J164" s="17" t="s">
        <v>165</v>
      </c>
      <c r="K164" s="17" t="s">
        <v>42</v>
      </c>
      <c r="L164" s="17">
        <v>10001013</v>
      </c>
      <c r="M164" s="17" t="s">
        <v>207</v>
      </c>
      <c r="N164" s="17">
        <v>151309387</v>
      </c>
      <c r="O164" s="17" t="s">
        <v>244</v>
      </c>
      <c r="P164" s="17" t="s">
        <v>148</v>
      </c>
      <c r="Q164" s="17"/>
      <c r="R164" s="17"/>
      <c r="S164" s="17" t="s">
        <v>147</v>
      </c>
      <c r="T164" s="17" t="s">
        <v>146</v>
      </c>
      <c r="U164" s="17" t="s">
        <v>166</v>
      </c>
      <c r="V164" s="17"/>
      <c r="W164" s="17"/>
    </row>
    <row r="165" spans="1:23" x14ac:dyDescent="0.45">
      <c r="A165" s="17" t="s">
        <v>254</v>
      </c>
      <c r="B165" s="22">
        <v>46037</v>
      </c>
      <c r="C165" s="17">
        <v>151298098</v>
      </c>
      <c r="D165" s="26">
        <f>IFERROR(SUMIF(Servicios_Promotores!$B:$B,C165,Servicios_Promotores!$R:$R),0)</f>
        <v>0</v>
      </c>
      <c r="E165" s="26">
        <f>IFERROR(SUMIF(Pago_GERE!$B:$B,C165,Pago_GERE!$R:$R),0)</f>
        <v>0</v>
      </c>
      <c r="F165" s="26">
        <f>IFERROR(SUMIF(Hoja2!$H:$H,C165,Hoja2!$U:$U),0)</f>
        <v>0</v>
      </c>
      <c r="G165" s="17" t="str">
        <f>IFERROR(VLOOKUP(C165,Hoja3!$C:$D,2,FALSE),"")</f>
        <v>ALEJANDRO CORREA</v>
      </c>
      <c r="H165" s="22">
        <v>46044</v>
      </c>
      <c r="I165" s="17" t="s">
        <v>232</v>
      </c>
      <c r="J165" s="17" t="s">
        <v>165</v>
      </c>
      <c r="K165" s="17" t="s">
        <v>42</v>
      </c>
      <c r="L165" s="17">
        <v>10000064</v>
      </c>
      <c r="M165" s="17" t="s">
        <v>227</v>
      </c>
      <c r="N165" s="17">
        <v>21886618</v>
      </c>
      <c r="O165" s="17" t="s">
        <v>966</v>
      </c>
      <c r="P165" s="17" t="s">
        <v>192</v>
      </c>
      <c r="Q165" s="17" t="s">
        <v>253</v>
      </c>
      <c r="R165" s="17" t="s">
        <v>966</v>
      </c>
      <c r="S165" s="17" t="s">
        <v>147</v>
      </c>
      <c r="T165" s="17" t="s">
        <v>146</v>
      </c>
      <c r="U165" s="17" t="s">
        <v>251</v>
      </c>
      <c r="V165" s="17" t="s">
        <v>934</v>
      </c>
      <c r="W165" s="17" t="s">
        <v>558</v>
      </c>
    </row>
    <row r="166" spans="1:23" x14ac:dyDescent="0.45">
      <c r="A166" s="17" t="s">
        <v>1065</v>
      </c>
      <c r="B166" s="22">
        <v>46044</v>
      </c>
      <c r="C166" s="17">
        <v>151311375</v>
      </c>
      <c r="D166" s="26">
        <f>IFERROR(SUMIF(Servicios_Promotores!$B:$B,C166,Servicios_Promotores!$R:$R),0)</f>
        <v>0</v>
      </c>
      <c r="E166" s="26">
        <f>IFERROR(SUMIF(Pago_GERE!$B:$B,C166,Pago_GERE!$R:$R),0)</f>
        <v>0</v>
      </c>
      <c r="F166" s="26">
        <f>IFERROR(SUMIF(Hoja2!$H:$H,C166,Hoja2!$U:$U),0)</f>
        <v>0</v>
      </c>
      <c r="G166" s="17" t="str">
        <f>IFERROR(VLOOKUP(C166,Hoja3!$C:$D,2,FALSE),"")</f>
        <v>ALEJANDRO CORREA</v>
      </c>
      <c r="H166" s="17"/>
      <c r="I166" s="17" t="s">
        <v>163</v>
      </c>
      <c r="J166" s="17" t="s">
        <v>151</v>
      </c>
      <c r="K166" s="17" t="s">
        <v>42</v>
      </c>
      <c r="L166" s="17">
        <v>10000064</v>
      </c>
      <c r="M166" s="17" t="s">
        <v>181</v>
      </c>
      <c r="N166" s="17">
        <v>21896696</v>
      </c>
      <c r="O166" s="17" t="s">
        <v>1066</v>
      </c>
      <c r="P166" s="17" t="s">
        <v>148</v>
      </c>
      <c r="Q166" s="17" t="s">
        <v>1064</v>
      </c>
      <c r="R166" s="17" t="s">
        <v>1066</v>
      </c>
      <c r="S166" s="17" t="s">
        <v>147</v>
      </c>
      <c r="T166" s="17" t="s">
        <v>146</v>
      </c>
      <c r="U166" s="17" t="s">
        <v>251</v>
      </c>
      <c r="V166" s="17" t="s">
        <v>210</v>
      </c>
      <c r="W166" s="17"/>
    </row>
    <row r="167" spans="1:23" x14ac:dyDescent="0.45">
      <c r="A167" s="17" t="s">
        <v>1065</v>
      </c>
      <c r="B167" s="22">
        <v>46044</v>
      </c>
      <c r="C167" s="17">
        <v>151311527</v>
      </c>
      <c r="D167" s="26">
        <f>IFERROR(SUMIF(Servicios_Promotores!$B:$B,C167,Servicios_Promotores!$R:$R),0)</f>
        <v>0</v>
      </c>
      <c r="E167" s="26">
        <f>IFERROR(SUMIF(Pago_GERE!$B:$B,C167,Pago_GERE!$R:$R),0)</f>
        <v>0</v>
      </c>
      <c r="F167" s="26">
        <f>IFERROR(SUMIF(Hoja2!$H:$H,C167,Hoja2!$U:$U),0)</f>
        <v>0</v>
      </c>
      <c r="G167" s="17" t="str">
        <f>IFERROR(VLOOKUP(C167,Hoja3!$C:$D,2,FALSE),"")</f>
        <v>ALEJANDRO CORREA</v>
      </c>
      <c r="H167" s="17"/>
      <c r="I167" s="17" t="s">
        <v>163</v>
      </c>
      <c r="J167" s="17" t="s">
        <v>151</v>
      </c>
      <c r="K167" s="17" t="s">
        <v>42</v>
      </c>
      <c r="L167" s="17">
        <v>10000064</v>
      </c>
      <c r="M167" s="17" t="s">
        <v>181</v>
      </c>
      <c r="N167" s="17">
        <v>21897804</v>
      </c>
      <c r="O167" s="17" t="s">
        <v>1134</v>
      </c>
      <c r="P167" s="17" t="s">
        <v>148</v>
      </c>
      <c r="Q167" s="17" t="s">
        <v>1064</v>
      </c>
      <c r="R167" s="17" t="s">
        <v>1134</v>
      </c>
      <c r="S167" s="17" t="s">
        <v>147</v>
      </c>
      <c r="T167" s="17" t="s">
        <v>146</v>
      </c>
      <c r="U167" s="17" t="s">
        <v>251</v>
      </c>
      <c r="V167" s="17"/>
      <c r="W167" s="17"/>
    </row>
    <row r="168" spans="1:23" x14ac:dyDescent="0.45">
      <c r="A168" s="17" t="s">
        <v>254</v>
      </c>
      <c r="B168" s="22">
        <v>46044</v>
      </c>
      <c r="C168" s="17">
        <v>151311461</v>
      </c>
      <c r="D168" s="26">
        <f>IFERROR(SUMIF(Servicios_Promotores!$B:$B,C168,Servicios_Promotores!$R:$R),0)</f>
        <v>0</v>
      </c>
      <c r="E168" s="26">
        <f>IFERROR(SUMIF(Pago_GERE!$B:$B,C168,Pago_GERE!$R:$R),0)</f>
        <v>0</v>
      </c>
      <c r="F168" s="26">
        <f>IFERROR(SUMIF(Hoja2!$H:$H,C168,Hoja2!$U:$U),0)</f>
        <v>2096</v>
      </c>
      <c r="G168" s="17" t="str">
        <f>IFERROR(VLOOKUP(C168,Hoja3!$C:$D,2,FALSE),"")</f>
        <v>ALEJANDRO CORREA</v>
      </c>
      <c r="H168" s="22">
        <v>46045</v>
      </c>
      <c r="I168" s="17" t="s">
        <v>163</v>
      </c>
      <c r="J168" s="17" t="s">
        <v>151</v>
      </c>
      <c r="K168" s="17" t="s">
        <v>42</v>
      </c>
      <c r="L168" s="17">
        <v>10000064</v>
      </c>
      <c r="M168" s="17" t="s">
        <v>181</v>
      </c>
      <c r="N168" s="17">
        <v>21896851</v>
      </c>
      <c r="O168" s="17" t="s">
        <v>1022</v>
      </c>
      <c r="P168" s="17" t="s">
        <v>148</v>
      </c>
      <c r="Q168" s="17" t="s">
        <v>253</v>
      </c>
      <c r="R168" s="17" t="s">
        <v>1022</v>
      </c>
      <c r="S168" s="17" t="s">
        <v>147</v>
      </c>
      <c r="T168" s="17" t="s">
        <v>146</v>
      </c>
      <c r="U168" s="17" t="s">
        <v>251</v>
      </c>
      <c r="V168" s="17" t="s">
        <v>1021</v>
      </c>
      <c r="W168" s="17" t="s">
        <v>315</v>
      </c>
    </row>
    <row r="169" spans="1:23" x14ac:dyDescent="0.45">
      <c r="A169" s="17" t="s">
        <v>254</v>
      </c>
      <c r="B169" s="22">
        <v>46044</v>
      </c>
      <c r="C169" s="17">
        <v>151311431</v>
      </c>
      <c r="D169" s="26">
        <f>IFERROR(SUMIF(Servicios_Promotores!$B:$B,C169,Servicios_Promotores!$R:$R),0)</f>
        <v>0</v>
      </c>
      <c r="E169" s="26">
        <f>IFERROR(SUMIF(Pago_GERE!$B:$B,C169,Pago_GERE!$R:$R),0)</f>
        <v>0</v>
      </c>
      <c r="F169" s="26">
        <f>IFERROR(SUMIF(Hoja2!$H:$H,C169,Hoja2!$U:$U),0)</f>
        <v>0</v>
      </c>
      <c r="G169" s="17" t="str">
        <f>IFERROR(VLOOKUP(C169,Hoja3!$C:$D,2,FALSE),"")</f>
        <v>ALEJANDRO CORREA</v>
      </c>
      <c r="H169" s="22">
        <v>46046</v>
      </c>
      <c r="I169" s="17" t="s">
        <v>152</v>
      </c>
      <c r="J169" s="17" t="s">
        <v>151</v>
      </c>
      <c r="K169" s="17" t="s">
        <v>42</v>
      </c>
      <c r="L169" s="17">
        <v>10000064</v>
      </c>
      <c r="M169" s="17" t="s">
        <v>181</v>
      </c>
      <c r="N169" s="17">
        <v>21897222</v>
      </c>
      <c r="O169" s="17" t="s">
        <v>1015</v>
      </c>
      <c r="P169" s="17" t="s">
        <v>148</v>
      </c>
      <c r="Q169" s="17" t="s">
        <v>253</v>
      </c>
      <c r="R169" s="17" t="s">
        <v>1015</v>
      </c>
      <c r="S169" s="17" t="s">
        <v>147</v>
      </c>
      <c r="T169" s="17" t="s">
        <v>146</v>
      </c>
      <c r="U169" s="17" t="s">
        <v>251</v>
      </c>
      <c r="V169" s="17" t="s">
        <v>781</v>
      </c>
      <c r="W169" s="17" t="s">
        <v>780</v>
      </c>
    </row>
    <row r="170" spans="1:23" x14ac:dyDescent="0.45">
      <c r="A170" s="17" t="s">
        <v>254</v>
      </c>
      <c r="B170" s="22">
        <v>46044</v>
      </c>
      <c r="C170" s="17">
        <v>151311488</v>
      </c>
      <c r="D170" s="26">
        <f>IFERROR(SUMIF(Servicios_Promotores!$B:$B,C170,Servicios_Promotores!$R:$R),0)</f>
        <v>0</v>
      </c>
      <c r="E170" s="26">
        <f>IFERROR(SUMIF(Pago_GERE!$B:$B,C170,Pago_GERE!$R:$R),0)</f>
        <v>0</v>
      </c>
      <c r="F170" s="26">
        <f>IFERROR(SUMIF(Hoja2!$H:$H,C170,Hoja2!$U:$U),0)</f>
        <v>0</v>
      </c>
      <c r="G170" s="17" t="str">
        <f>IFERROR(VLOOKUP(C170,Hoja3!$C:$D,2,FALSE),"")</f>
        <v>ALEJANDRO CORREA</v>
      </c>
      <c r="H170" s="22">
        <v>46046</v>
      </c>
      <c r="I170" s="17" t="s">
        <v>163</v>
      </c>
      <c r="J170" s="17" t="s">
        <v>151</v>
      </c>
      <c r="K170" s="17" t="s">
        <v>42</v>
      </c>
      <c r="L170" s="17">
        <v>10000064</v>
      </c>
      <c r="M170" s="17" t="s">
        <v>181</v>
      </c>
      <c r="N170" s="17">
        <v>21894016</v>
      </c>
      <c r="O170" s="17" t="s">
        <v>1014</v>
      </c>
      <c r="P170" s="17" t="s">
        <v>224</v>
      </c>
      <c r="Q170" s="17" t="s">
        <v>253</v>
      </c>
      <c r="R170" s="17" t="s">
        <v>1014</v>
      </c>
      <c r="S170" s="17" t="s">
        <v>147</v>
      </c>
      <c r="T170" s="17" t="s">
        <v>223</v>
      </c>
      <c r="U170" s="17" t="s">
        <v>251</v>
      </c>
      <c r="V170" s="17" t="s">
        <v>1013</v>
      </c>
      <c r="W170" s="17" t="s">
        <v>848</v>
      </c>
    </row>
    <row r="171" spans="1:23" x14ac:dyDescent="0.45">
      <c r="A171" s="17" t="s">
        <v>254</v>
      </c>
      <c r="B171" s="22">
        <v>46043</v>
      </c>
      <c r="C171" s="17">
        <v>151309189</v>
      </c>
      <c r="D171" s="26">
        <f>IFERROR(SUMIF(Servicios_Promotores!$B:$B,C171,Servicios_Promotores!$R:$R),0)</f>
        <v>0</v>
      </c>
      <c r="E171" s="26">
        <f>IFERROR(SUMIF(Pago_GERE!$B:$B,C171,Pago_GERE!$R:$R),0)</f>
        <v>0</v>
      </c>
      <c r="F171" s="26">
        <f>IFERROR(SUMIF(Hoja2!$H:$H,C171,Hoja2!$U:$U),0)</f>
        <v>1747</v>
      </c>
      <c r="G171" s="17" t="str">
        <f>IFERROR(VLOOKUP(C171,Hoja3!$C:$D,2,FALSE),"")</f>
        <v>ALEJANDRO CORREA</v>
      </c>
      <c r="H171" s="22">
        <v>46045</v>
      </c>
      <c r="I171" s="17" t="s">
        <v>163</v>
      </c>
      <c r="J171" s="17" t="s">
        <v>151</v>
      </c>
      <c r="K171" s="17" t="s">
        <v>42</v>
      </c>
      <c r="L171" s="17">
        <v>10000064</v>
      </c>
      <c r="M171" s="17" t="s">
        <v>181</v>
      </c>
      <c r="N171" s="17">
        <v>21872792</v>
      </c>
      <c r="O171" s="17" t="s">
        <v>1006</v>
      </c>
      <c r="P171" s="17" t="s">
        <v>148</v>
      </c>
      <c r="Q171" s="17" t="s">
        <v>253</v>
      </c>
      <c r="R171" s="17" t="s">
        <v>1006</v>
      </c>
      <c r="S171" s="17" t="s">
        <v>147</v>
      </c>
      <c r="T171" s="17" t="s">
        <v>146</v>
      </c>
      <c r="U171" s="17" t="s">
        <v>251</v>
      </c>
      <c r="V171" s="17" t="s">
        <v>859</v>
      </c>
      <c r="W171" s="17" t="s">
        <v>858</v>
      </c>
    </row>
    <row r="172" spans="1:23" x14ac:dyDescent="0.45">
      <c r="A172" s="17" t="s">
        <v>254</v>
      </c>
      <c r="B172" s="22">
        <v>46043</v>
      </c>
      <c r="C172" s="17">
        <v>151309214</v>
      </c>
      <c r="D172" s="26">
        <f>IFERROR(SUMIF(Servicios_Promotores!$B:$B,C172,Servicios_Promotores!$R:$R),0)</f>
        <v>0</v>
      </c>
      <c r="E172" s="26">
        <f>IFERROR(SUMIF(Pago_GERE!$B:$B,C172,Pago_GERE!$R:$R),0)</f>
        <v>0</v>
      </c>
      <c r="F172" s="26">
        <f>IFERROR(SUMIF(Hoja2!$H:$H,C172,Hoja2!$U:$U),0)</f>
        <v>0</v>
      </c>
      <c r="G172" s="17" t="str">
        <f>IFERROR(VLOOKUP(C172,Hoja3!$C:$D,2,FALSE),"")</f>
        <v>ALEJANDRO CORREA</v>
      </c>
      <c r="H172" s="22">
        <v>46045</v>
      </c>
      <c r="I172" s="17" t="s">
        <v>204</v>
      </c>
      <c r="J172" s="17" t="s">
        <v>151</v>
      </c>
      <c r="K172" s="17" t="s">
        <v>42</v>
      </c>
      <c r="L172" s="17">
        <v>10000064</v>
      </c>
      <c r="M172" s="17" t="s">
        <v>181</v>
      </c>
      <c r="N172" s="17">
        <v>21876222</v>
      </c>
      <c r="O172" s="17" t="s">
        <v>1005</v>
      </c>
      <c r="P172" s="17" t="s">
        <v>148</v>
      </c>
      <c r="Q172" s="17" t="s">
        <v>253</v>
      </c>
      <c r="R172" s="17" t="s">
        <v>1005</v>
      </c>
      <c r="S172" s="17" t="s">
        <v>155</v>
      </c>
      <c r="T172" s="17" t="s">
        <v>146</v>
      </c>
      <c r="U172" s="17" t="s">
        <v>251</v>
      </c>
      <c r="V172" s="17" t="s">
        <v>1004</v>
      </c>
      <c r="W172" s="17" t="s">
        <v>1003</v>
      </c>
    </row>
    <row r="173" spans="1:23" x14ac:dyDescent="0.45">
      <c r="A173" s="17" t="s">
        <v>254</v>
      </c>
      <c r="B173" s="22">
        <v>46043</v>
      </c>
      <c r="C173" s="17">
        <v>151309423</v>
      </c>
      <c r="D173" s="26">
        <f>IFERROR(SUMIF(Servicios_Promotores!$B:$B,C173,Servicios_Promotores!$R:$R),0)</f>
        <v>0</v>
      </c>
      <c r="E173" s="26">
        <f>IFERROR(SUMIF(Pago_GERE!$B:$B,C173,Pago_GERE!$R:$R),0)</f>
        <v>0</v>
      </c>
      <c r="F173" s="26">
        <f>IFERROR(SUMIF(Hoja2!$H:$H,C173,Hoja2!$U:$U),0)</f>
        <v>1698</v>
      </c>
      <c r="G173" s="17" t="str">
        <f>IFERROR(VLOOKUP(C173,Hoja3!$C:$D,2,FALSE),"")</f>
        <v>ALEJANDRO CORREA</v>
      </c>
      <c r="H173" s="22">
        <v>46045</v>
      </c>
      <c r="I173" s="17" t="s">
        <v>468</v>
      </c>
      <c r="J173" s="17" t="s">
        <v>151</v>
      </c>
      <c r="K173" s="17" t="s">
        <v>62</v>
      </c>
      <c r="L173" s="17">
        <v>10000064</v>
      </c>
      <c r="M173" s="17" t="s">
        <v>181</v>
      </c>
      <c r="N173" s="17">
        <v>21880064</v>
      </c>
      <c r="O173" s="17" t="s">
        <v>1002</v>
      </c>
      <c r="P173" s="17" t="s">
        <v>168</v>
      </c>
      <c r="Q173" s="17" t="s">
        <v>253</v>
      </c>
      <c r="R173" s="17" t="s">
        <v>1002</v>
      </c>
      <c r="S173" s="17" t="s">
        <v>155</v>
      </c>
      <c r="T173" s="17" t="s">
        <v>167</v>
      </c>
      <c r="U173" s="17" t="s">
        <v>251</v>
      </c>
      <c r="V173" s="17" t="s">
        <v>1001</v>
      </c>
      <c r="W173" s="17" t="s">
        <v>1000</v>
      </c>
    </row>
    <row r="174" spans="1:23" x14ac:dyDescent="0.45">
      <c r="A174" s="17" t="s">
        <v>254</v>
      </c>
      <c r="B174" s="22">
        <v>46042</v>
      </c>
      <c r="C174" s="17">
        <v>151307198</v>
      </c>
      <c r="D174" s="26">
        <f>IFERROR(SUMIF(Servicios_Promotores!$B:$B,C174,Servicios_Promotores!$R:$R),0)</f>
        <v>0</v>
      </c>
      <c r="E174" s="26">
        <f>IFERROR(SUMIF(Pago_GERE!$B:$B,C174,Pago_GERE!$R:$R),0)</f>
        <v>0</v>
      </c>
      <c r="F174" s="26">
        <f>IFERROR(SUMIF(Hoja2!$H:$H,C174,Hoja2!$U:$U),0)</f>
        <v>0</v>
      </c>
      <c r="G174" s="17" t="str">
        <f>IFERROR(VLOOKUP(C174,Hoja3!$C:$D,2,FALSE),"")</f>
        <v>ALEJANDRO CORREA</v>
      </c>
      <c r="H174" s="22">
        <v>46045</v>
      </c>
      <c r="I174" s="17" t="s">
        <v>152</v>
      </c>
      <c r="J174" s="17" t="s">
        <v>165</v>
      </c>
      <c r="K174" s="17" t="s">
        <v>42</v>
      </c>
      <c r="L174" s="17">
        <v>10000064</v>
      </c>
      <c r="M174" s="17" t="s">
        <v>181</v>
      </c>
      <c r="N174" s="17">
        <v>21910481</v>
      </c>
      <c r="O174" s="17" t="s">
        <v>997</v>
      </c>
      <c r="P174" s="17" t="s">
        <v>148</v>
      </c>
      <c r="Q174" s="17" t="s">
        <v>253</v>
      </c>
      <c r="R174" s="17" t="s">
        <v>997</v>
      </c>
      <c r="S174" s="17" t="s">
        <v>147</v>
      </c>
      <c r="T174" s="17" t="s">
        <v>146</v>
      </c>
      <c r="U174" s="17" t="s">
        <v>251</v>
      </c>
      <c r="V174" s="17" t="s">
        <v>453</v>
      </c>
      <c r="W174" s="17" t="s">
        <v>452</v>
      </c>
    </row>
    <row r="175" spans="1:23" x14ac:dyDescent="0.45">
      <c r="A175" s="17" t="s">
        <v>254</v>
      </c>
      <c r="B175" s="22">
        <v>46042</v>
      </c>
      <c r="C175" s="17">
        <v>151307166</v>
      </c>
      <c r="D175" s="26">
        <f>IFERROR(SUMIF(Servicios_Promotores!$B:$B,C175,Servicios_Promotores!$R:$R),0)</f>
        <v>0</v>
      </c>
      <c r="E175" s="26">
        <f>IFERROR(SUMIF(Pago_GERE!$B:$B,C175,Pago_GERE!$R:$R),0)</f>
        <v>0</v>
      </c>
      <c r="F175" s="26">
        <f>IFERROR(SUMIF(Hoja2!$H:$H,C175,Hoja2!$U:$U),0)</f>
        <v>0</v>
      </c>
      <c r="G175" s="17" t="str">
        <f>IFERROR(VLOOKUP(C175,Hoja3!$C:$D,2,FALSE),"")</f>
        <v>ALEJANDRO CORREA</v>
      </c>
      <c r="H175" s="22">
        <v>46045</v>
      </c>
      <c r="I175" s="17" t="s">
        <v>152</v>
      </c>
      <c r="J175" s="17" t="s">
        <v>165</v>
      </c>
      <c r="K175" s="17" t="s">
        <v>42</v>
      </c>
      <c r="L175" s="17">
        <v>10000064</v>
      </c>
      <c r="M175" s="17" t="s">
        <v>181</v>
      </c>
      <c r="N175" s="17">
        <v>21910480</v>
      </c>
      <c r="O175" s="17" t="s">
        <v>989</v>
      </c>
      <c r="P175" s="17" t="s">
        <v>148</v>
      </c>
      <c r="Q175" s="17" t="s">
        <v>253</v>
      </c>
      <c r="R175" s="17" t="s">
        <v>989</v>
      </c>
      <c r="S175" s="17" t="s">
        <v>147</v>
      </c>
      <c r="T175" s="17" t="s">
        <v>146</v>
      </c>
      <c r="U175" s="17" t="s">
        <v>251</v>
      </c>
      <c r="V175" s="17" t="s">
        <v>988</v>
      </c>
      <c r="W175" s="17" t="s">
        <v>987</v>
      </c>
    </row>
    <row r="176" spans="1:23" x14ac:dyDescent="0.45">
      <c r="A176" s="17" t="s">
        <v>254</v>
      </c>
      <c r="B176" s="22">
        <v>46041</v>
      </c>
      <c r="C176" s="17">
        <v>151304969</v>
      </c>
      <c r="D176" s="26">
        <f>IFERROR(SUMIF(Servicios_Promotores!$B:$B,C176,Servicios_Promotores!$R:$R),0)</f>
        <v>0</v>
      </c>
      <c r="E176" s="26">
        <f>IFERROR(SUMIF(Pago_GERE!$B:$B,C176,Pago_GERE!$R:$R),0)</f>
        <v>0</v>
      </c>
      <c r="F176" s="26">
        <f>IFERROR(SUMIF(Hoja2!$H:$H,C176,Hoja2!$U:$U),0)</f>
        <v>0</v>
      </c>
      <c r="G176" s="17" t="str">
        <f>IFERROR(VLOOKUP(C176,Hoja3!$C:$D,2,FALSE),"")</f>
        <v>ALEJANDRO CORREA</v>
      </c>
      <c r="H176" s="22">
        <v>46048</v>
      </c>
      <c r="I176" s="17" t="s">
        <v>204</v>
      </c>
      <c r="J176" s="17" t="s">
        <v>151</v>
      </c>
      <c r="K176" s="17" t="s">
        <v>42</v>
      </c>
      <c r="L176" s="17">
        <v>10000064</v>
      </c>
      <c r="M176" s="17" t="s">
        <v>181</v>
      </c>
      <c r="N176" s="17">
        <v>21824407</v>
      </c>
      <c r="O176" s="17" t="s">
        <v>985</v>
      </c>
      <c r="P176" s="17" t="s">
        <v>148</v>
      </c>
      <c r="Q176" s="17" t="s">
        <v>253</v>
      </c>
      <c r="R176" s="17" t="s">
        <v>985</v>
      </c>
      <c r="S176" s="17" t="s">
        <v>155</v>
      </c>
      <c r="T176" s="17" t="s">
        <v>146</v>
      </c>
      <c r="U176" s="17" t="s">
        <v>251</v>
      </c>
      <c r="V176" s="17" t="s">
        <v>393</v>
      </c>
      <c r="W176" s="17" t="s">
        <v>321</v>
      </c>
    </row>
    <row r="177" spans="1:23" x14ac:dyDescent="0.45">
      <c r="A177" s="17" t="s">
        <v>254</v>
      </c>
      <c r="B177" s="22">
        <v>46041</v>
      </c>
      <c r="C177" s="17">
        <v>151304953</v>
      </c>
      <c r="D177" s="26">
        <f>IFERROR(SUMIF(Servicios_Promotores!$B:$B,C177,Servicios_Promotores!$R:$R),0)</f>
        <v>0</v>
      </c>
      <c r="E177" s="26">
        <f>IFERROR(SUMIF(Pago_GERE!$B:$B,C177,Pago_GERE!$R:$R),0)</f>
        <v>0</v>
      </c>
      <c r="F177" s="26">
        <f>IFERROR(SUMIF(Hoja2!$H:$H,C177,Hoja2!$U:$U),0)</f>
        <v>1095</v>
      </c>
      <c r="G177" s="17" t="str">
        <f>IFERROR(VLOOKUP(C177,Hoja3!$C:$D,2,FALSE),"")</f>
        <v>ALEJANDRO CORREA</v>
      </c>
      <c r="H177" s="22">
        <v>46042</v>
      </c>
      <c r="I177" s="17" t="s">
        <v>152</v>
      </c>
      <c r="J177" s="17" t="s">
        <v>151</v>
      </c>
      <c r="K177" s="17" t="s">
        <v>42</v>
      </c>
      <c r="L177" s="17">
        <v>10000064</v>
      </c>
      <c r="M177" s="17" t="s">
        <v>181</v>
      </c>
      <c r="N177" s="17">
        <v>21824208</v>
      </c>
      <c r="O177" s="17" t="s">
        <v>983</v>
      </c>
      <c r="P177" s="17" t="s">
        <v>192</v>
      </c>
      <c r="Q177" s="17" t="s">
        <v>253</v>
      </c>
      <c r="R177" s="17" t="s">
        <v>983</v>
      </c>
      <c r="S177" s="17" t="s">
        <v>147</v>
      </c>
      <c r="T177" s="17" t="s">
        <v>146</v>
      </c>
      <c r="U177" s="17" t="s">
        <v>251</v>
      </c>
      <c r="V177" s="17" t="s">
        <v>982</v>
      </c>
      <c r="W177" s="17" t="s">
        <v>981</v>
      </c>
    </row>
    <row r="178" spans="1:23" x14ac:dyDescent="0.45">
      <c r="A178" s="17" t="s">
        <v>254</v>
      </c>
      <c r="B178" s="22">
        <v>46041</v>
      </c>
      <c r="C178" s="17">
        <v>151304540</v>
      </c>
      <c r="D178" s="26">
        <f>IFERROR(SUMIF(Servicios_Promotores!$B:$B,C178,Servicios_Promotores!$R:$R),0)</f>
        <v>0</v>
      </c>
      <c r="E178" s="26">
        <f>IFERROR(SUMIF(Pago_GERE!$B:$B,C178,Pago_GERE!$R:$R),0)</f>
        <v>0</v>
      </c>
      <c r="F178" s="26">
        <f>IFERROR(SUMIF(Hoja2!$H:$H,C178,Hoja2!$U:$U),0)</f>
        <v>0</v>
      </c>
      <c r="G178" s="17" t="str">
        <f>IFERROR(VLOOKUP(C178,Hoja3!$C:$D,2,FALSE),"")</f>
        <v>ALEJANDRO CORREA</v>
      </c>
      <c r="H178" s="22">
        <v>46043</v>
      </c>
      <c r="I178" s="17" t="s">
        <v>739</v>
      </c>
      <c r="J178" s="17" t="s">
        <v>151</v>
      </c>
      <c r="K178" s="17" t="s">
        <v>55</v>
      </c>
      <c r="L178" s="17">
        <v>10000064</v>
      </c>
      <c r="M178" s="17" t="s">
        <v>181</v>
      </c>
      <c r="N178" s="17">
        <v>21831882</v>
      </c>
      <c r="O178" s="17" t="s">
        <v>980</v>
      </c>
      <c r="P178" s="17" t="s">
        <v>221</v>
      </c>
      <c r="Q178" s="17" t="s">
        <v>253</v>
      </c>
      <c r="R178" s="17" t="s">
        <v>980</v>
      </c>
      <c r="S178" s="17" t="s">
        <v>155</v>
      </c>
      <c r="T178" s="17" t="s">
        <v>55</v>
      </c>
      <c r="U178" s="17" t="s">
        <v>251</v>
      </c>
      <c r="V178" s="17" t="s">
        <v>979</v>
      </c>
      <c r="W178" s="17" t="s">
        <v>441</v>
      </c>
    </row>
    <row r="179" spans="1:23" x14ac:dyDescent="0.45">
      <c r="A179" s="17" t="s">
        <v>254</v>
      </c>
      <c r="B179" s="22">
        <v>46041</v>
      </c>
      <c r="C179" s="17">
        <v>151304676</v>
      </c>
      <c r="D179" s="26">
        <f>IFERROR(SUMIF(Servicios_Promotores!$B:$B,C179,Servicios_Promotores!$R:$R),0)</f>
        <v>0</v>
      </c>
      <c r="E179" s="26">
        <f>IFERROR(SUMIF(Pago_GERE!$B:$B,C179,Pago_GERE!$R:$R),0)</f>
        <v>0</v>
      </c>
      <c r="F179" s="26">
        <f>IFERROR(SUMIF(Hoja2!$H:$H,C179,Hoja2!$U:$U),0)</f>
        <v>0</v>
      </c>
      <c r="G179" s="17" t="str">
        <f>IFERROR(VLOOKUP(C179,Hoja3!$C:$D,2,FALSE),"")</f>
        <v>ALEJANDRO CORREA</v>
      </c>
      <c r="H179" s="22">
        <v>46043</v>
      </c>
      <c r="I179" s="17" t="s">
        <v>194</v>
      </c>
      <c r="J179" s="17" t="s">
        <v>151</v>
      </c>
      <c r="K179" s="17" t="s">
        <v>42</v>
      </c>
      <c r="L179" s="17">
        <v>10000064</v>
      </c>
      <c r="M179" s="17" t="s">
        <v>181</v>
      </c>
      <c r="N179" s="17">
        <v>21823795</v>
      </c>
      <c r="O179" s="17" t="s">
        <v>978</v>
      </c>
      <c r="P179" s="17" t="s">
        <v>148</v>
      </c>
      <c r="Q179" s="17" t="s">
        <v>253</v>
      </c>
      <c r="R179" s="17" t="s">
        <v>978</v>
      </c>
      <c r="S179" s="17" t="s">
        <v>147</v>
      </c>
      <c r="T179" s="17" t="s">
        <v>146</v>
      </c>
      <c r="U179" s="17" t="s">
        <v>251</v>
      </c>
      <c r="V179" s="17" t="s">
        <v>476</v>
      </c>
      <c r="W179" s="17" t="s">
        <v>475</v>
      </c>
    </row>
    <row r="180" spans="1:23" x14ac:dyDescent="0.45">
      <c r="A180" s="17" t="s">
        <v>254</v>
      </c>
      <c r="B180" s="22">
        <v>46041</v>
      </c>
      <c r="C180" s="17">
        <v>151304593</v>
      </c>
      <c r="D180" s="26">
        <f>IFERROR(SUMIF(Servicios_Promotores!$B:$B,C180,Servicios_Promotores!$R:$R),0)</f>
        <v>0</v>
      </c>
      <c r="E180" s="26">
        <f>IFERROR(SUMIF(Pago_GERE!$B:$B,C180,Pago_GERE!$R:$R),0)</f>
        <v>0</v>
      </c>
      <c r="F180" s="26">
        <f>IFERROR(SUMIF(Hoja2!$H:$H,C180,Hoja2!$U:$U),0)</f>
        <v>1465</v>
      </c>
      <c r="G180" s="17" t="str">
        <f>IFERROR(VLOOKUP(C180,Hoja3!$C:$D,2,FALSE),"")</f>
        <v>ALEJANDRO CORREA</v>
      </c>
      <c r="H180" s="22">
        <v>46045</v>
      </c>
      <c r="I180" s="17" t="s">
        <v>152</v>
      </c>
      <c r="J180" s="17" t="s">
        <v>151</v>
      </c>
      <c r="K180" s="17" t="s">
        <v>101</v>
      </c>
      <c r="L180" s="17">
        <v>10000064</v>
      </c>
      <c r="M180" s="17" t="s">
        <v>181</v>
      </c>
      <c r="N180" s="17">
        <v>21822942</v>
      </c>
      <c r="O180" s="17" t="s">
        <v>977</v>
      </c>
      <c r="P180" s="17" t="s">
        <v>156</v>
      </c>
      <c r="Q180" s="17" t="s">
        <v>253</v>
      </c>
      <c r="R180" s="17" t="s">
        <v>977</v>
      </c>
      <c r="S180" s="17" t="s">
        <v>147</v>
      </c>
      <c r="T180" s="17" t="s">
        <v>154</v>
      </c>
      <c r="U180" s="17" t="s">
        <v>251</v>
      </c>
      <c r="V180" s="17" t="s">
        <v>976</v>
      </c>
      <c r="W180" s="17" t="s">
        <v>441</v>
      </c>
    </row>
    <row r="181" spans="1:23" x14ac:dyDescent="0.45">
      <c r="A181" s="17"/>
      <c r="B181" s="22">
        <v>46044</v>
      </c>
      <c r="C181" s="17">
        <v>151311166</v>
      </c>
      <c r="D181" s="26">
        <f>IFERROR(SUMIF(Servicios_Promotores!$B:$B,C181,Servicios_Promotores!$R:$R),0)</f>
        <v>0</v>
      </c>
      <c r="E181" s="26">
        <f>IFERROR(SUMIF(Pago_GERE!$B:$B,C181,Pago_GERE!$R:$R),0)</f>
        <v>0</v>
      </c>
      <c r="F181" s="26">
        <f>IFERROR(SUMIF(Hoja2!$H:$H,C181,Hoja2!$U:$U),0)</f>
        <v>0</v>
      </c>
      <c r="G181" s="17" t="str">
        <f>IFERROR(VLOOKUP(C181,Hoja3!$C:$D,2,FALSE),"")</f>
        <v>ALEJANDRO CORREA</v>
      </c>
      <c r="H181" s="17"/>
      <c r="I181" s="17" t="s">
        <v>245</v>
      </c>
      <c r="J181" s="17" t="s">
        <v>151</v>
      </c>
      <c r="K181" s="17" t="s">
        <v>39</v>
      </c>
      <c r="L181" s="17">
        <v>10000064</v>
      </c>
      <c r="M181" s="17" t="s">
        <v>181</v>
      </c>
      <c r="N181" s="17">
        <v>151311166</v>
      </c>
      <c r="O181" s="17"/>
      <c r="P181" s="17" t="s">
        <v>160</v>
      </c>
      <c r="Q181" s="17"/>
      <c r="R181" s="17"/>
      <c r="S181" s="17" t="s">
        <v>155</v>
      </c>
      <c r="T181" s="17" t="s">
        <v>159</v>
      </c>
      <c r="U181" s="17" t="s">
        <v>145</v>
      </c>
      <c r="V181" s="17" t="s">
        <v>210</v>
      </c>
      <c r="W181" s="17"/>
    </row>
    <row r="182" spans="1:23" x14ac:dyDescent="0.45">
      <c r="A182" s="17"/>
      <c r="B182" s="22">
        <v>46041</v>
      </c>
      <c r="C182" s="17">
        <v>151303987</v>
      </c>
      <c r="D182" s="26">
        <f>IFERROR(SUMIF(Servicios_Promotores!$B:$B,C182,Servicios_Promotores!$R:$R),0)</f>
        <v>0</v>
      </c>
      <c r="E182" s="26">
        <f>IFERROR(SUMIF(Pago_GERE!$B:$B,C182,Pago_GERE!$R:$R),0)</f>
        <v>0</v>
      </c>
      <c r="F182" s="26">
        <f>IFERROR(SUMIF(Hoja2!$H:$H,C182,Hoja2!$U:$U),0)</f>
        <v>0</v>
      </c>
      <c r="G182" s="17" t="str">
        <f>IFERROR(VLOOKUP(C182,Hoja3!$C:$D,2,FALSE),"")</f>
        <v>ALEJANDRO CORREA</v>
      </c>
      <c r="H182" s="17"/>
      <c r="I182" s="17" t="s">
        <v>152</v>
      </c>
      <c r="J182" s="17" t="s">
        <v>151</v>
      </c>
      <c r="K182" s="17" t="s">
        <v>55</v>
      </c>
      <c r="L182" s="17">
        <v>10000064</v>
      </c>
      <c r="M182" s="17" t="s">
        <v>181</v>
      </c>
      <c r="N182" s="17">
        <v>151303987</v>
      </c>
      <c r="O182" s="17"/>
      <c r="P182" s="17" t="s">
        <v>221</v>
      </c>
      <c r="Q182" s="17"/>
      <c r="R182" s="17"/>
      <c r="S182" s="17" t="s">
        <v>147</v>
      </c>
      <c r="T182" s="17" t="s">
        <v>55</v>
      </c>
      <c r="U182" s="17" t="s">
        <v>153</v>
      </c>
      <c r="V182" s="17" t="s">
        <v>210</v>
      </c>
      <c r="W182" s="17"/>
    </row>
    <row r="183" spans="1:23" x14ac:dyDescent="0.45">
      <c r="A183" s="17" t="s">
        <v>1065</v>
      </c>
      <c r="B183" s="22">
        <v>46043</v>
      </c>
      <c r="C183" s="17">
        <v>151309342</v>
      </c>
      <c r="D183" s="26">
        <f>IFERROR(SUMIF(Servicios_Promotores!$B:$B,C183,Servicios_Promotores!$R:$R),0)</f>
        <v>0</v>
      </c>
      <c r="E183" s="26">
        <f>IFERROR(SUMIF(Pago_GERE!$B:$B,C183,Pago_GERE!$R:$R),0)</f>
        <v>0</v>
      </c>
      <c r="F183" s="26">
        <f>IFERROR(SUMIF(Hoja2!$H:$H,C183,Hoja2!$U:$U),0)</f>
        <v>0</v>
      </c>
      <c r="G183" s="17" t="str">
        <f>IFERROR(VLOOKUP(C183,Hoja3!$C:$D,2,FALSE),"")</f>
        <v>ALEJANDRO CORREA</v>
      </c>
      <c r="H183" s="17"/>
      <c r="I183" s="17" t="s">
        <v>163</v>
      </c>
      <c r="J183" s="17" t="s">
        <v>151</v>
      </c>
      <c r="K183" s="17" t="s">
        <v>39</v>
      </c>
      <c r="L183" s="17">
        <v>10000064</v>
      </c>
      <c r="M183" s="17" t="s">
        <v>211</v>
      </c>
      <c r="N183" s="17">
        <v>21873532</v>
      </c>
      <c r="O183" s="17" t="s">
        <v>1066</v>
      </c>
      <c r="P183" s="17" t="s">
        <v>170</v>
      </c>
      <c r="Q183" s="17" t="s">
        <v>1064</v>
      </c>
      <c r="R183" s="17" t="s">
        <v>1066</v>
      </c>
      <c r="S183" s="17" t="s">
        <v>147</v>
      </c>
      <c r="T183" s="17" t="s">
        <v>169</v>
      </c>
      <c r="U183" s="17" t="s">
        <v>251</v>
      </c>
      <c r="V183" s="17"/>
      <c r="W183" s="17"/>
    </row>
    <row r="184" spans="1:23" x14ac:dyDescent="0.45">
      <c r="A184" s="17" t="s">
        <v>1065</v>
      </c>
      <c r="B184" s="22">
        <v>46043</v>
      </c>
      <c r="C184" s="17">
        <v>151309431</v>
      </c>
      <c r="D184" s="26">
        <f>IFERROR(SUMIF(Servicios_Promotores!$B:$B,C184,Servicios_Promotores!$R:$R),0)</f>
        <v>0</v>
      </c>
      <c r="E184" s="26">
        <f>IFERROR(SUMIF(Pago_GERE!$B:$B,C184,Pago_GERE!$R:$R),0)</f>
        <v>0</v>
      </c>
      <c r="F184" s="26">
        <f>IFERROR(SUMIF(Hoja2!$H:$H,C184,Hoja2!$U:$U),0)</f>
        <v>0</v>
      </c>
      <c r="G184" s="17" t="str">
        <f>IFERROR(VLOOKUP(C184,Hoja3!$C:$D,2,FALSE),"")</f>
        <v>ALEJANDRO CORREA</v>
      </c>
      <c r="H184" s="17"/>
      <c r="I184" s="17" t="s">
        <v>152</v>
      </c>
      <c r="J184" s="17" t="s">
        <v>151</v>
      </c>
      <c r="K184" s="17" t="s">
        <v>42</v>
      </c>
      <c r="L184" s="17">
        <v>10000064</v>
      </c>
      <c r="M184" s="17" t="s">
        <v>211</v>
      </c>
      <c r="N184" s="17">
        <v>21872655</v>
      </c>
      <c r="O184" s="17" t="s">
        <v>1066</v>
      </c>
      <c r="P184" s="17" t="s">
        <v>148</v>
      </c>
      <c r="Q184" s="17" t="s">
        <v>1064</v>
      </c>
      <c r="R184" s="17" t="s">
        <v>1066</v>
      </c>
      <c r="S184" s="17" t="s">
        <v>147</v>
      </c>
      <c r="T184" s="17" t="s">
        <v>146</v>
      </c>
      <c r="U184" s="17" t="s">
        <v>251</v>
      </c>
      <c r="V184" s="17" t="s">
        <v>210</v>
      </c>
      <c r="W184" s="17"/>
    </row>
    <row r="185" spans="1:23" x14ac:dyDescent="0.45">
      <c r="A185" s="17" t="s">
        <v>254</v>
      </c>
      <c r="B185" s="22">
        <v>46041</v>
      </c>
      <c r="C185" s="17">
        <v>151304427</v>
      </c>
      <c r="D185" s="26">
        <f>IFERROR(SUMIF(Servicios_Promotores!$B:$B,C185,Servicios_Promotores!$R:$R),0)</f>
        <v>0</v>
      </c>
      <c r="E185" s="26">
        <f>IFERROR(SUMIF(Pago_GERE!$B:$B,C185,Pago_GERE!$R:$R),0)</f>
        <v>0</v>
      </c>
      <c r="F185" s="26">
        <f>IFERROR(SUMIF(Hoja2!$H:$H,C185,Hoja2!$U:$U),0)</f>
        <v>0</v>
      </c>
      <c r="G185" s="17" t="str">
        <f>IFERROR(VLOOKUP(C185,Hoja3!$C:$D,2,FALSE),"")</f>
        <v>ALEJANDRO CORREA</v>
      </c>
      <c r="H185" s="22">
        <v>46044</v>
      </c>
      <c r="I185" s="17" t="s">
        <v>197</v>
      </c>
      <c r="J185" s="17" t="s">
        <v>165</v>
      </c>
      <c r="K185" s="17" t="s">
        <v>42</v>
      </c>
      <c r="L185" s="17">
        <v>10000064</v>
      </c>
      <c r="M185" s="17" t="s">
        <v>211</v>
      </c>
      <c r="N185" s="17">
        <v>21886703</v>
      </c>
      <c r="O185" s="17" t="s">
        <v>984</v>
      </c>
      <c r="P185" s="17" t="s">
        <v>148</v>
      </c>
      <c r="Q185" s="17" t="s">
        <v>253</v>
      </c>
      <c r="R185" s="17" t="s">
        <v>984</v>
      </c>
      <c r="S185" s="17" t="s">
        <v>147</v>
      </c>
      <c r="T185" s="17" t="s">
        <v>146</v>
      </c>
      <c r="U185" s="17" t="s">
        <v>251</v>
      </c>
      <c r="V185" s="17" t="s">
        <v>407</v>
      </c>
      <c r="W185" s="17" t="s">
        <v>315</v>
      </c>
    </row>
    <row r="186" spans="1:23" x14ac:dyDescent="0.45">
      <c r="A186" s="17" t="s">
        <v>254</v>
      </c>
      <c r="B186" s="22">
        <v>46039</v>
      </c>
      <c r="C186" s="17">
        <v>151301741</v>
      </c>
      <c r="D186" s="26">
        <f>IFERROR(SUMIF(Servicios_Promotores!$B:$B,C186,Servicios_Promotores!$R:$R),0)</f>
        <v>0</v>
      </c>
      <c r="E186" s="26">
        <f>IFERROR(SUMIF(Pago_GERE!$B:$B,C186,Pago_GERE!$R:$R),0)</f>
        <v>0</v>
      </c>
      <c r="F186" s="26">
        <f>IFERROR(SUMIF(Hoja2!$H:$H,C186,Hoja2!$U:$U),0)</f>
        <v>0</v>
      </c>
      <c r="G186" s="17" t="str">
        <f>IFERROR(VLOOKUP(C186,Hoja3!$C:$D,2,FALSE),"")</f>
        <v>ALEJANDRO CORREA</v>
      </c>
      <c r="H186" s="22">
        <v>46043</v>
      </c>
      <c r="I186" s="17" t="s">
        <v>152</v>
      </c>
      <c r="J186" s="17" t="s">
        <v>165</v>
      </c>
      <c r="K186" s="17" t="s">
        <v>42</v>
      </c>
      <c r="L186" s="17">
        <v>10000064</v>
      </c>
      <c r="M186" s="17" t="s">
        <v>211</v>
      </c>
      <c r="N186" s="17">
        <v>21866524</v>
      </c>
      <c r="O186" s="17" t="s">
        <v>973</v>
      </c>
      <c r="P186" s="17" t="s">
        <v>224</v>
      </c>
      <c r="Q186" s="17" t="s">
        <v>253</v>
      </c>
      <c r="R186" s="17" t="s">
        <v>973</v>
      </c>
      <c r="S186" s="17" t="s">
        <v>147</v>
      </c>
      <c r="T186" s="17" t="s">
        <v>223</v>
      </c>
      <c r="U186" s="17" t="s">
        <v>251</v>
      </c>
      <c r="V186" s="17" t="s">
        <v>972</v>
      </c>
      <c r="W186" s="17" t="s">
        <v>409</v>
      </c>
    </row>
    <row r="187" spans="1:23" x14ac:dyDescent="0.45">
      <c r="A187" s="17" t="s">
        <v>254</v>
      </c>
      <c r="B187" s="22">
        <v>46038</v>
      </c>
      <c r="C187" s="17">
        <v>151300473</v>
      </c>
      <c r="D187" s="26">
        <f>IFERROR(SUMIF(Servicios_Promotores!$B:$B,C187,Servicios_Promotores!$R:$R),0)</f>
        <v>0</v>
      </c>
      <c r="E187" s="26">
        <f>IFERROR(SUMIF(Pago_GERE!$B:$B,C187,Pago_GERE!$R:$R),0)</f>
        <v>0</v>
      </c>
      <c r="F187" s="26">
        <f>IFERROR(SUMIF(Hoja2!$H:$H,C187,Hoja2!$U:$U),0)</f>
        <v>0</v>
      </c>
      <c r="G187" s="17" t="str">
        <f>IFERROR(VLOOKUP(C187,Hoja3!$C:$D,2,FALSE),"")</f>
        <v>ALEJANDRO CORREA</v>
      </c>
      <c r="H187" s="22">
        <v>46040</v>
      </c>
      <c r="I187" s="17" t="s">
        <v>152</v>
      </c>
      <c r="J187" s="17" t="s">
        <v>151</v>
      </c>
      <c r="K187" s="17" t="s">
        <v>31</v>
      </c>
      <c r="L187" s="17">
        <v>10000064</v>
      </c>
      <c r="M187" s="17" t="s">
        <v>211</v>
      </c>
      <c r="N187" s="17">
        <v>21764727</v>
      </c>
      <c r="O187" s="17" t="s">
        <v>970</v>
      </c>
      <c r="P187" s="17" t="s">
        <v>963</v>
      </c>
      <c r="Q187" s="17" t="s">
        <v>253</v>
      </c>
      <c r="R187" s="17" t="s">
        <v>970</v>
      </c>
      <c r="S187" s="17" t="s">
        <v>147</v>
      </c>
      <c r="T187" s="17" t="s">
        <v>969</v>
      </c>
      <c r="U187" s="17" t="s">
        <v>251</v>
      </c>
      <c r="V187" s="17" t="s">
        <v>968</v>
      </c>
      <c r="W187" s="17" t="s">
        <v>967</v>
      </c>
    </row>
    <row r="188" spans="1:23" x14ac:dyDescent="0.45">
      <c r="A188" s="17" t="s">
        <v>254</v>
      </c>
      <c r="B188" s="22">
        <v>46086</v>
      </c>
      <c r="C188" s="17">
        <v>151388766</v>
      </c>
      <c r="D188" s="26">
        <f>IFERROR(SUMIF(Servicios_Promotores!$B:$B,C188,Servicios_Promotores!$R:$R),0)</f>
        <v>0</v>
      </c>
      <c r="E188" s="26">
        <f>IFERROR(SUMIF(Pago_GERE!$B:$B,C188,Pago_GERE!$R:$R),0)</f>
        <v>0</v>
      </c>
      <c r="F188" s="26">
        <f>IFERROR(SUMIF(Hoja2!$H:$H,C188,Hoja2!$U:$U),0)</f>
        <v>1290</v>
      </c>
      <c r="G188" s="17" t="str">
        <f>IFERROR(VLOOKUP(C188,Hoja3!$C:$D,2,FALSE),"")</f>
        <v>ALEJANDRO CORREA</v>
      </c>
      <c r="H188" s="22">
        <v>46093</v>
      </c>
      <c r="I188" s="17" t="s">
        <v>204</v>
      </c>
      <c r="J188" s="17" t="s">
        <v>151</v>
      </c>
      <c r="K188" s="17" t="s">
        <v>101</v>
      </c>
      <c r="L188" s="17">
        <v>10000064</v>
      </c>
      <c r="M188" s="17" t="s">
        <v>211</v>
      </c>
      <c r="N188" s="17">
        <v>22808562</v>
      </c>
      <c r="O188" s="17" t="s">
        <v>572</v>
      </c>
      <c r="P188" s="17" t="s">
        <v>156</v>
      </c>
      <c r="Q188" s="17" t="s">
        <v>253</v>
      </c>
      <c r="R188" s="17" t="s">
        <v>572</v>
      </c>
      <c r="S188" s="17" t="s">
        <v>155</v>
      </c>
      <c r="T188" s="17" t="s">
        <v>154</v>
      </c>
      <c r="U188" s="17" t="s">
        <v>251</v>
      </c>
      <c r="V188" s="17" t="s">
        <v>442</v>
      </c>
      <c r="W188" s="17" t="s">
        <v>441</v>
      </c>
    </row>
    <row r="189" spans="1:23" x14ac:dyDescent="0.45">
      <c r="A189" s="17" t="s">
        <v>254</v>
      </c>
      <c r="B189" s="22">
        <v>46085</v>
      </c>
      <c r="C189" s="17">
        <v>151386817</v>
      </c>
      <c r="D189" s="26">
        <f>IFERROR(SUMIF(Servicios_Promotores!$B:$B,C189,Servicios_Promotores!$R:$R),0)</f>
        <v>75.000000009999994</v>
      </c>
      <c r="E189" s="26">
        <f>IFERROR(SUMIF(Pago_GERE!$B:$B,C189,Pago_GERE!$R:$R),0)</f>
        <v>75.000000009999994</v>
      </c>
      <c r="F189" s="26">
        <f>IFERROR(SUMIF(Hoja2!$H:$H,C189,Hoja2!$U:$U),0)</f>
        <v>0</v>
      </c>
      <c r="G189" s="17" t="str">
        <f>IFERROR(VLOOKUP(C189,Hoja3!$C:$D,2,FALSE),"")</f>
        <v>ALEJANDRO CORREA</v>
      </c>
      <c r="H189" s="22">
        <v>46091</v>
      </c>
      <c r="I189" s="17" t="s">
        <v>152</v>
      </c>
      <c r="J189" s="17" t="s">
        <v>165</v>
      </c>
      <c r="K189" s="17" t="s">
        <v>39</v>
      </c>
      <c r="L189" s="17">
        <v>10000064</v>
      </c>
      <c r="M189" s="17" t="s">
        <v>211</v>
      </c>
      <c r="N189" s="17">
        <v>22923269</v>
      </c>
      <c r="O189" s="17" t="s">
        <v>567</v>
      </c>
      <c r="P189" s="17" t="s">
        <v>170</v>
      </c>
      <c r="Q189" s="17" t="s">
        <v>253</v>
      </c>
      <c r="R189" s="17" t="s">
        <v>567</v>
      </c>
      <c r="S189" s="17" t="s">
        <v>147</v>
      </c>
      <c r="T189" s="17" t="s">
        <v>169</v>
      </c>
      <c r="U189" s="17" t="s">
        <v>251</v>
      </c>
      <c r="V189" s="17" t="s">
        <v>566</v>
      </c>
      <c r="W189" s="17" t="s">
        <v>565</v>
      </c>
    </row>
    <row r="190" spans="1:23" x14ac:dyDescent="0.45">
      <c r="A190" s="17"/>
      <c r="B190" s="22">
        <v>46043</v>
      </c>
      <c r="C190" s="17">
        <v>151309309</v>
      </c>
      <c r="D190" s="26">
        <f>IFERROR(SUMIF(Servicios_Promotores!$B:$B,C190,Servicios_Promotores!$R:$R),0)</f>
        <v>0</v>
      </c>
      <c r="E190" s="26">
        <f>IFERROR(SUMIF(Pago_GERE!$B:$B,C190,Pago_GERE!$R:$R),0)</f>
        <v>0</v>
      </c>
      <c r="F190" s="26">
        <f>IFERROR(SUMIF(Hoja2!$H:$H,C190,Hoja2!$U:$U),0)</f>
        <v>0</v>
      </c>
      <c r="G190" s="17" t="str">
        <f>IFERROR(VLOOKUP(C190,Hoja3!$C:$D,2,FALSE),"")</f>
        <v>ALEJANDRO CORREA</v>
      </c>
      <c r="H190" s="17"/>
      <c r="I190" s="17" t="s">
        <v>209</v>
      </c>
      <c r="J190" s="17" t="s">
        <v>165</v>
      </c>
      <c r="K190" s="17" t="s">
        <v>42</v>
      </c>
      <c r="L190" s="17">
        <v>10000064</v>
      </c>
      <c r="M190" s="17" t="s">
        <v>211</v>
      </c>
      <c r="N190" s="17">
        <v>151309309</v>
      </c>
      <c r="O190" s="17" t="s">
        <v>243</v>
      </c>
      <c r="P190" s="17" t="s">
        <v>148</v>
      </c>
      <c r="Q190" s="17"/>
      <c r="R190" s="17"/>
      <c r="S190" s="17" t="s">
        <v>147</v>
      </c>
      <c r="T190" s="17" t="s">
        <v>146</v>
      </c>
      <c r="U190" s="17" t="s">
        <v>145</v>
      </c>
      <c r="V190" s="17" t="s">
        <v>242</v>
      </c>
      <c r="W190" s="17" t="s">
        <v>241</v>
      </c>
    </row>
    <row r="191" spans="1:23" x14ac:dyDescent="0.45">
      <c r="A191" s="17"/>
      <c r="B191" s="22">
        <v>46043</v>
      </c>
      <c r="C191" s="17">
        <v>151309190</v>
      </c>
      <c r="D191" s="26">
        <f>IFERROR(SUMIF(Servicios_Promotores!$B:$B,C191,Servicios_Promotores!$R:$R),0)</f>
        <v>0</v>
      </c>
      <c r="E191" s="26">
        <f>IFERROR(SUMIF(Pago_GERE!$B:$B,C191,Pago_GERE!$R:$R),0)</f>
        <v>0</v>
      </c>
      <c r="F191" s="26">
        <f>IFERROR(SUMIF(Hoja2!$H:$H,C191,Hoja2!$U:$U),0)</f>
        <v>0</v>
      </c>
      <c r="G191" s="17" t="str">
        <f>IFERROR(VLOOKUP(C191,Hoja3!$C:$D,2,FALSE),"")</f>
        <v>ALEJANDRO CORREA</v>
      </c>
      <c r="H191" s="17"/>
      <c r="I191" s="17" t="s">
        <v>197</v>
      </c>
      <c r="J191" s="17" t="s">
        <v>165</v>
      </c>
      <c r="K191" s="17" t="s">
        <v>42</v>
      </c>
      <c r="L191" s="17">
        <v>10000064</v>
      </c>
      <c r="M191" s="17" t="s">
        <v>211</v>
      </c>
      <c r="N191" s="17">
        <v>151309190</v>
      </c>
      <c r="O191" s="17" t="s">
        <v>240</v>
      </c>
      <c r="P191" s="17" t="s">
        <v>148</v>
      </c>
      <c r="Q191" s="17"/>
      <c r="R191" s="17"/>
      <c r="S191" s="17" t="s">
        <v>147</v>
      </c>
      <c r="T191" s="17" t="s">
        <v>146</v>
      </c>
      <c r="U191" s="17" t="s">
        <v>145</v>
      </c>
      <c r="V191" s="17"/>
      <c r="W191" s="17"/>
    </row>
    <row r="192" spans="1:23" x14ac:dyDescent="0.45">
      <c r="A192" s="17"/>
      <c r="B192" s="22">
        <v>46042</v>
      </c>
      <c r="C192" s="17">
        <v>151307212</v>
      </c>
      <c r="D192" s="26">
        <f>IFERROR(SUMIF(Servicios_Promotores!$B:$B,C192,Servicios_Promotores!$R:$R),0)</f>
        <v>0</v>
      </c>
      <c r="E192" s="26">
        <f>IFERROR(SUMIF(Pago_GERE!$B:$B,C192,Pago_GERE!$R:$R),0)</f>
        <v>0</v>
      </c>
      <c r="F192" s="26">
        <f>IFERROR(SUMIF(Hoja2!$H:$H,C192,Hoja2!$U:$U),0)</f>
        <v>0</v>
      </c>
      <c r="G192" s="17" t="str">
        <f>IFERROR(VLOOKUP(C192,Hoja3!$C:$D,2,FALSE),"")</f>
        <v>ALEJANDRO CORREA</v>
      </c>
      <c r="H192" s="17"/>
      <c r="I192" s="17" t="s">
        <v>163</v>
      </c>
      <c r="J192" s="17" t="s">
        <v>151</v>
      </c>
      <c r="K192" s="17" t="s">
        <v>42</v>
      </c>
      <c r="L192" s="17">
        <v>10000064</v>
      </c>
      <c r="M192" s="17" t="s">
        <v>211</v>
      </c>
      <c r="N192" s="17">
        <v>151307212</v>
      </c>
      <c r="O192" s="17"/>
      <c r="P192" s="17" t="s">
        <v>148</v>
      </c>
      <c r="Q192" s="17"/>
      <c r="R192" s="17"/>
      <c r="S192" s="17" t="s">
        <v>147</v>
      </c>
      <c r="T192" s="17" t="s">
        <v>146</v>
      </c>
      <c r="U192" s="17" t="s">
        <v>166</v>
      </c>
      <c r="V192" s="17" t="s">
        <v>210</v>
      </c>
      <c r="W192" s="17"/>
    </row>
    <row r="193" spans="1:23" x14ac:dyDescent="0.45">
      <c r="A193" s="17" t="s">
        <v>1065</v>
      </c>
      <c r="B193" s="22">
        <v>46044</v>
      </c>
      <c r="C193" s="17">
        <v>151311031</v>
      </c>
      <c r="D193" s="26">
        <f>IFERROR(SUMIF(Servicios_Promotores!$B:$B,C193,Servicios_Promotores!$R:$R),0)</f>
        <v>0</v>
      </c>
      <c r="E193" s="26">
        <f>IFERROR(SUMIF(Pago_GERE!$B:$B,C193,Pago_GERE!$R:$R),0)</f>
        <v>0</v>
      </c>
      <c r="F193" s="26">
        <f>IFERROR(SUMIF(Hoja2!$H:$H,C193,Hoja2!$U:$U),0)</f>
        <v>0</v>
      </c>
      <c r="G193" s="17" t="str">
        <f>IFERROR(VLOOKUP(C193,Hoja3!$C:$D,2,FALSE),"")</f>
        <v>ALEJANDRO CORREA</v>
      </c>
      <c r="H193" s="17"/>
      <c r="I193" s="17" t="s">
        <v>152</v>
      </c>
      <c r="J193" s="17" t="s">
        <v>165</v>
      </c>
      <c r="K193" s="17" t="s">
        <v>42</v>
      </c>
      <c r="L193" s="17">
        <v>10000064</v>
      </c>
      <c r="M193" s="17" t="s">
        <v>233</v>
      </c>
      <c r="N193" s="17">
        <v>21898562</v>
      </c>
      <c r="O193" s="17" t="s">
        <v>1135</v>
      </c>
      <c r="P193" s="17" t="s">
        <v>148</v>
      </c>
      <c r="Q193" s="17" t="s">
        <v>1064</v>
      </c>
      <c r="R193" s="17" t="s">
        <v>1135</v>
      </c>
      <c r="S193" s="17" t="s">
        <v>147</v>
      </c>
      <c r="T193" s="17" t="s">
        <v>146</v>
      </c>
      <c r="U193" s="17" t="s">
        <v>251</v>
      </c>
      <c r="V193" s="17"/>
      <c r="W193" s="17"/>
    </row>
    <row r="194" spans="1:23" x14ac:dyDescent="0.45">
      <c r="A194" s="17" t="s">
        <v>1065</v>
      </c>
      <c r="B194" s="22">
        <v>46044</v>
      </c>
      <c r="C194" s="17">
        <v>151310857</v>
      </c>
      <c r="D194" s="26">
        <f>IFERROR(SUMIF(Servicios_Promotores!$B:$B,C194,Servicios_Promotores!$R:$R),0)</f>
        <v>0</v>
      </c>
      <c r="E194" s="26">
        <f>IFERROR(SUMIF(Pago_GERE!$B:$B,C194,Pago_GERE!$R:$R),0)</f>
        <v>0</v>
      </c>
      <c r="F194" s="26">
        <f>IFERROR(SUMIF(Hoja2!$H:$H,C194,Hoja2!$U:$U),0)</f>
        <v>0</v>
      </c>
      <c r="G194" s="17" t="str">
        <f>IFERROR(VLOOKUP(C194,Hoja3!$C:$D,2,FALSE),"")</f>
        <v>ALEJANDRO CORREA</v>
      </c>
      <c r="H194" s="17"/>
      <c r="I194" s="17" t="s">
        <v>232</v>
      </c>
      <c r="J194" s="17" t="s">
        <v>165</v>
      </c>
      <c r="K194" s="17" t="s">
        <v>42</v>
      </c>
      <c r="L194" s="17">
        <v>10000064</v>
      </c>
      <c r="M194" s="17" t="s">
        <v>233</v>
      </c>
      <c r="N194" s="17">
        <v>21883968</v>
      </c>
      <c r="O194" s="17" t="s">
        <v>1066</v>
      </c>
      <c r="P194" s="17" t="s">
        <v>192</v>
      </c>
      <c r="Q194" s="17" t="s">
        <v>1064</v>
      </c>
      <c r="R194" s="17" t="s">
        <v>1066</v>
      </c>
      <c r="S194" s="17" t="s">
        <v>147</v>
      </c>
      <c r="T194" s="17" t="s">
        <v>146</v>
      </c>
      <c r="U194" s="17" t="s">
        <v>251</v>
      </c>
      <c r="V194" s="17" t="s">
        <v>210</v>
      </c>
      <c r="W194" s="17"/>
    </row>
    <row r="195" spans="1:23" x14ac:dyDescent="0.45">
      <c r="A195" s="17" t="s">
        <v>1065</v>
      </c>
      <c r="B195" s="22">
        <v>46038</v>
      </c>
      <c r="C195" s="17">
        <v>151300232</v>
      </c>
      <c r="D195" s="26">
        <f>IFERROR(SUMIF(Servicios_Promotores!$B:$B,C195,Servicios_Promotores!$R:$R),0)</f>
        <v>0</v>
      </c>
      <c r="E195" s="26">
        <f>IFERROR(SUMIF(Pago_GERE!$B:$B,C195,Pago_GERE!$R:$R),0)</f>
        <v>0</v>
      </c>
      <c r="F195" s="26">
        <f>IFERROR(SUMIF(Hoja2!$H:$H,C195,Hoja2!$U:$U),0)</f>
        <v>0</v>
      </c>
      <c r="G195" s="17" t="str">
        <f>IFERROR(VLOOKUP(C195,Hoja3!$C:$D,2,FALSE),"")</f>
        <v>ALEJANDRO CORREA</v>
      </c>
      <c r="H195" s="17"/>
      <c r="I195" s="17" t="s">
        <v>152</v>
      </c>
      <c r="J195" s="17" t="s">
        <v>151</v>
      </c>
      <c r="K195" s="17" t="s">
        <v>42</v>
      </c>
      <c r="L195" s="17">
        <v>10000064</v>
      </c>
      <c r="M195" s="17" t="s">
        <v>233</v>
      </c>
      <c r="N195" s="17">
        <v>21775643</v>
      </c>
      <c r="O195" s="17" t="s">
        <v>1066</v>
      </c>
      <c r="P195" s="17" t="s">
        <v>148</v>
      </c>
      <c r="Q195" s="17" t="s">
        <v>1064</v>
      </c>
      <c r="R195" s="17" t="s">
        <v>1066</v>
      </c>
      <c r="S195" s="17" t="s">
        <v>147</v>
      </c>
      <c r="T195" s="17" t="s">
        <v>146</v>
      </c>
      <c r="U195" s="17" t="s">
        <v>251</v>
      </c>
      <c r="V195" s="17" t="s">
        <v>210</v>
      </c>
      <c r="W195" s="17"/>
    </row>
    <row r="196" spans="1:23" x14ac:dyDescent="0.45">
      <c r="A196" s="17" t="s">
        <v>1065</v>
      </c>
      <c r="B196" s="22">
        <v>46038</v>
      </c>
      <c r="C196" s="17">
        <v>151300277</v>
      </c>
      <c r="D196" s="26">
        <f>IFERROR(SUMIF(Servicios_Promotores!$B:$B,C196,Servicios_Promotores!$R:$R),0)</f>
        <v>0</v>
      </c>
      <c r="E196" s="26">
        <f>IFERROR(SUMIF(Pago_GERE!$B:$B,C196,Pago_GERE!$R:$R),0)</f>
        <v>0</v>
      </c>
      <c r="F196" s="26">
        <f>IFERROR(SUMIF(Hoja2!$H:$H,C196,Hoja2!$U:$U),0)</f>
        <v>0</v>
      </c>
      <c r="G196" s="17" t="str">
        <f>IFERROR(VLOOKUP(C196,Hoja3!$C:$D,2,FALSE),"")</f>
        <v>ALEJANDRO CORREA</v>
      </c>
      <c r="H196" s="17"/>
      <c r="I196" s="17" t="s">
        <v>152</v>
      </c>
      <c r="J196" s="17" t="s">
        <v>151</v>
      </c>
      <c r="K196" s="17" t="s">
        <v>42</v>
      </c>
      <c r="L196" s="17">
        <v>10000064</v>
      </c>
      <c r="M196" s="17" t="s">
        <v>233</v>
      </c>
      <c r="N196" s="17">
        <v>21775922</v>
      </c>
      <c r="O196" s="17" t="s">
        <v>1066</v>
      </c>
      <c r="P196" s="17" t="s">
        <v>148</v>
      </c>
      <c r="Q196" s="17" t="s">
        <v>1064</v>
      </c>
      <c r="R196" s="17" t="s">
        <v>1066</v>
      </c>
      <c r="S196" s="17" t="s">
        <v>147</v>
      </c>
      <c r="T196" s="17" t="s">
        <v>146</v>
      </c>
      <c r="U196" s="17" t="s">
        <v>251</v>
      </c>
      <c r="V196" s="17"/>
      <c r="W196" s="17"/>
    </row>
    <row r="197" spans="1:23" x14ac:dyDescent="0.45">
      <c r="A197" s="17" t="s">
        <v>254</v>
      </c>
      <c r="B197" s="22">
        <v>46087</v>
      </c>
      <c r="C197" s="17">
        <v>151390549</v>
      </c>
      <c r="D197" s="26">
        <f>IFERROR(SUMIF(Servicios_Promotores!$B:$B,C197,Servicios_Promotores!$R:$R),0)</f>
        <v>49.999999998</v>
      </c>
      <c r="E197" s="26">
        <f>IFERROR(SUMIF(Pago_GERE!$B:$B,C197,Pago_GERE!$R:$R),0)</f>
        <v>49.999999998</v>
      </c>
      <c r="F197" s="26">
        <f>IFERROR(SUMIF(Hoja2!$H:$H,C197,Hoja2!$U:$U),0)</f>
        <v>0</v>
      </c>
      <c r="G197" s="17" t="str">
        <f>IFERROR(VLOOKUP(C197,Hoja3!$C:$D,2,FALSE),"")</f>
        <v>AMERICA BRENDA</v>
      </c>
      <c r="H197" s="22">
        <v>46092</v>
      </c>
      <c r="I197" s="17" t="s">
        <v>152</v>
      </c>
      <c r="J197" s="17" t="s">
        <v>165</v>
      </c>
      <c r="K197" s="17" t="s">
        <v>39</v>
      </c>
      <c r="L197" s="17">
        <v>10001013</v>
      </c>
      <c r="M197" s="17" t="s">
        <v>207</v>
      </c>
      <c r="N197" s="17">
        <v>22946246</v>
      </c>
      <c r="O197" s="17" t="s">
        <v>578</v>
      </c>
      <c r="P197" s="17" t="s">
        <v>185</v>
      </c>
      <c r="Q197" s="17" t="s">
        <v>253</v>
      </c>
      <c r="R197" s="17" t="s">
        <v>578</v>
      </c>
      <c r="S197" s="17" t="s">
        <v>147</v>
      </c>
      <c r="T197" s="17" t="s">
        <v>184</v>
      </c>
      <c r="U197" s="17" t="s">
        <v>251</v>
      </c>
      <c r="V197" s="17" t="s">
        <v>577</v>
      </c>
      <c r="W197" s="17" t="s">
        <v>576</v>
      </c>
    </row>
    <row r="198" spans="1:23" x14ac:dyDescent="0.45">
      <c r="A198" s="17" t="s">
        <v>1065</v>
      </c>
      <c r="B198" s="22">
        <v>46091</v>
      </c>
      <c r="C198" s="17">
        <v>151396841</v>
      </c>
      <c r="D198" s="26">
        <f>IFERROR(SUMIF(Servicios_Promotores!$B:$B,C198,Servicios_Promotores!$R:$R),0)</f>
        <v>0</v>
      </c>
      <c r="E198" s="26">
        <f>IFERROR(SUMIF(Pago_GERE!$B:$B,C198,Pago_GERE!$R:$R),0)</f>
        <v>0</v>
      </c>
      <c r="F198" s="26">
        <f>IFERROR(SUMIF(Hoja2!$H:$H,C198,Hoja2!$U:$U),0)</f>
        <v>0</v>
      </c>
      <c r="G198" s="17" t="str">
        <f>IFERROR(VLOOKUP(C198,Hoja3!$C:$D,2,FALSE),"")</f>
        <v>AMERICA BRENDA</v>
      </c>
      <c r="H198" s="17"/>
      <c r="I198" s="17" t="s">
        <v>152</v>
      </c>
      <c r="J198" s="17" t="s">
        <v>151</v>
      </c>
      <c r="K198" s="17" t="s">
        <v>46</v>
      </c>
      <c r="L198" s="17">
        <v>10000064</v>
      </c>
      <c r="M198" s="17" t="s">
        <v>193</v>
      </c>
      <c r="N198" s="17">
        <v>22934835</v>
      </c>
      <c r="O198" s="17" t="s">
        <v>1066</v>
      </c>
      <c r="P198" s="17" t="s">
        <v>1103</v>
      </c>
      <c r="Q198" s="17" t="s">
        <v>1097</v>
      </c>
      <c r="R198" s="17" t="s">
        <v>1066</v>
      </c>
      <c r="S198" s="17" t="s">
        <v>147</v>
      </c>
      <c r="T198" s="17" t="s">
        <v>866</v>
      </c>
      <c r="U198" s="17" t="s">
        <v>251</v>
      </c>
      <c r="V198" s="17"/>
      <c r="W198" s="17"/>
    </row>
    <row r="199" spans="1:23" x14ac:dyDescent="0.45">
      <c r="A199" s="17" t="s">
        <v>254</v>
      </c>
      <c r="B199" s="22">
        <v>46091</v>
      </c>
      <c r="C199" s="17">
        <v>151396936</v>
      </c>
      <c r="D199" s="26">
        <f>IFERROR(SUMIF(Servicios_Promotores!$B:$B,C199,Servicios_Promotores!$R:$R),0)</f>
        <v>75.000000009999994</v>
      </c>
      <c r="E199" s="26">
        <f>IFERROR(SUMIF(Pago_GERE!$B:$B,C199,Pago_GERE!$R:$R),0)</f>
        <v>75.000000009999994</v>
      </c>
      <c r="F199" s="26">
        <f>IFERROR(SUMIF(Hoja2!$H:$H,C199,Hoja2!$U:$U),0)</f>
        <v>0</v>
      </c>
      <c r="G199" s="17" t="str">
        <f>IFERROR(VLOOKUP(C199,Hoja3!$C:$D,2,FALSE),"")</f>
        <v>AMERICA BRENDA</v>
      </c>
      <c r="H199" s="22">
        <v>46093</v>
      </c>
      <c r="I199" s="17" t="s">
        <v>158</v>
      </c>
      <c r="J199" s="17" t="s">
        <v>151</v>
      </c>
      <c r="K199" s="17" t="s">
        <v>42</v>
      </c>
      <c r="L199" s="17">
        <v>10000064</v>
      </c>
      <c r="M199" s="17" t="s">
        <v>193</v>
      </c>
      <c r="N199" s="17">
        <v>22929376</v>
      </c>
      <c r="O199" s="17" t="s">
        <v>614</v>
      </c>
      <c r="P199" s="17" t="s">
        <v>148</v>
      </c>
      <c r="Q199" s="17" t="s">
        <v>253</v>
      </c>
      <c r="R199" s="17" t="s">
        <v>614</v>
      </c>
      <c r="S199" s="17" t="s">
        <v>155</v>
      </c>
      <c r="T199" s="17" t="s">
        <v>146</v>
      </c>
      <c r="U199" s="17" t="s">
        <v>251</v>
      </c>
      <c r="V199" s="17" t="s">
        <v>613</v>
      </c>
      <c r="W199" s="17" t="s">
        <v>361</v>
      </c>
    </row>
    <row r="200" spans="1:23" x14ac:dyDescent="0.45">
      <c r="A200" s="17" t="s">
        <v>254</v>
      </c>
      <c r="B200" s="22">
        <v>46091</v>
      </c>
      <c r="C200" s="17">
        <v>151396902</v>
      </c>
      <c r="D200" s="26">
        <f>IFERROR(SUMIF(Servicios_Promotores!$B:$B,C200,Servicios_Promotores!$R:$R),0)</f>
        <v>75.000000009999994</v>
      </c>
      <c r="E200" s="26">
        <f>IFERROR(SUMIF(Pago_GERE!$B:$B,C200,Pago_GERE!$R:$R),0)</f>
        <v>75.000000009999994</v>
      </c>
      <c r="F200" s="26">
        <f>IFERROR(SUMIF(Hoja2!$H:$H,C200,Hoja2!$U:$U),0)</f>
        <v>0</v>
      </c>
      <c r="G200" s="17" t="str">
        <f>IFERROR(VLOOKUP(C200,Hoja3!$C:$D,2,FALSE),"")</f>
        <v>AMERICA BRENDA</v>
      </c>
      <c r="H200" s="22">
        <v>46092</v>
      </c>
      <c r="I200" s="17" t="s">
        <v>551</v>
      </c>
      <c r="J200" s="17" t="s">
        <v>151</v>
      </c>
      <c r="K200" s="17" t="s">
        <v>39</v>
      </c>
      <c r="L200" s="17">
        <v>10000064</v>
      </c>
      <c r="M200" s="17" t="s">
        <v>193</v>
      </c>
      <c r="N200" s="17">
        <v>22929125</v>
      </c>
      <c r="O200" s="17" t="s">
        <v>612</v>
      </c>
      <c r="P200" s="17" t="s">
        <v>160</v>
      </c>
      <c r="Q200" s="17" t="s">
        <v>253</v>
      </c>
      <c r="R200" s="17" t="s">
        <v>612</v>
      </c>
      <c r="S200" s="17" t="s">
        <v>147</v>
      </c>
      <c r="T200" s="17" t="s">
        <v>159</v>
      </c>
      <c r="U200" s="17" t="s">
        <v>251</v>
      </c>
      <c r="V200" s="17" t="s">
        <v>611</v>
      </c>
      <c r="W200" s="17" t="s">
        <v>610</v>
      </c>
    </row>
    <row r="201" spans="1:23" x14ac:dyDescent="0.45">
      <c r="A201" s="17" t="s">
        <v>1065</v>
      </c>
      <c r="B201" s="22">
        <v>46091</v>
      </c>
      <c r="C201" s="17">
        <v>151396791</v>
      </c>
      <c r="D201" s="26">
        <f>IFERROR(SUMIF(Servicios_Promotores!$B:$B,C201,Servicios_Promotores!$R:$R),0)</f>
        <v>0</v>
      </c>
      <c r="E201" s="26">
        <f>IFERROR(SUMIF(Pago_GERE!$B:$B,C201,Pago_GERE!$R:$R),0)</f>
        <v>0</v>
      </c>
      <c r="F201" s="26">
        <f>IFERROR(SUMIF(Hoja2!$H:$H,C201,Hoja2!$U:$U),0)</f>
        <v>0</v>
      </c>
      <c r="G201" s="17" t="str">
        <f>IFERROR(VLOOKUP(C201,Hoja3!$C:$D,2,FALSE),"")</f>
        <v>AMERICA BRENDA</v>
      </c>
      <c r="H201" s="17"/>
      <c r="I201" s="17" t="s">
        <v>152</v>
      </c>
      <c r="J201" s="17" t="s">
        <v>151</v>
      </c>
      <c r="K201" s="17" t="s">
        <v>42</v>
      </c>
      <c r="L201" s="17">
        <v>10001013</v>
      </c>
      <c r="M201" s="17" t="s">
        <v>653</v>
      </c>
      <c r="N201" s="17">
        <v>22932452</v>
      </c>
      <c r="O201" s="17" t="s">
        <v>1066</v>
      </c>
      <c r="P201" s="17" t="s">
        <v>148</v>
      </c>
      <c r="Q201" s="17" t="s">
        <v>1064</v>
      </c>
      <c r="R201" s="17" t="s">
        <v>1066</v>
      </c>
      <c r="S201" s="17" t="s">
        <v>147</v>
      </c>
      <c r="T201" s="17" t="s">
        <v>146</v>
      </c>
      <c r="U201" s="17" t="s">
        <v>251</v>
      </c>
      <c r="V201" s="17"/>
      <c r="W201" s="17"/>
    </row>
    <row r="202" spans="1:23" x14ac:dyDescent="0.45">
      <c r="A202" s="17" t="s">
        <v>1065</v>
      </c>
      <c r="B202" s="22">
        <v>46088</v>
      </c>
      <c r="C202" s="17">
        <v>151392054</v>
      </c>
      <c r="D202" s="26">
        <f>IFERROR(SUMIF(Servicios_Promotores!$B:$B,C202,Servicios_Promotores!$R:$R),0)</f>
        <v>0</v>
      </c>
      <c r="E202" s="26">
        <f>IFERROR(SUMIF(Pago_GERE!$B:$B,C202,Pago_GERE!$R:$R),0)</f>
        <v>0</v>
      </c>
      <c r="F202" s="26">
        <f>IFERROR(SUMIF(Hoja2!$H:$H,C202,Hoja2!$U:$U),0)</f>
        <v>0</v>
      </c>
      <c r="G202" s="17" t="str">
        <f>IFERROR(VLOOKUP(C202,Hoja3!$C:$D,2,FALSE),"")</f>
        <v>AMERICA BRENDA</v>
      </c>
      <c r="H202" s="17"/>
      <c r="I202" s="17" t="s">
        <v>158</v>
      </c>
      <c r="J202" s="17" t="s">
        <v>151</v>
      </c>
      <c r="K202" s="17" t="s">
        <v>62</v>
      </c>
      <c r="L202" s="17">
        <v>10001013</v>
      </c>
      <c r="M202" s="17" t="s">
        <v>653</v>
      </c>
      <c r="N202" s="17">
        <v>22877995</v>
      </c>
      <c r="O202" s="17" t="s">
        <v>1066</v>
      </c>
      <c r="P202" s="17" t="s">
        <v>188</v>
      </c>
      <c r="Q202" s="17" t="s">
        <v>1064</v>
      </c>
      <c r="R202" s="17" t="s">
        <v>1066</v>
      </c>
      <c r="S202" s="17" t="s">
        <v>155</v>
      </c>
      <c r="T202" s="17" t="s">
        <v>187</v>
      </c>
      <c r="U202" s="17" t="s">
        <v>251</v>
      </c>
      <c r="V202" s="17"/>
      <c r="W202" s="17"/>
    </row>
    <row r="203" spans="1:23" x14ac:dyDescent="0.45">
      <c r="A203" s="17" t="s">
        <v>254</v>
      </c>
      <c r="B203" s="22">
        <v>46099</v>
      </c>
      <c r="C203" s="17">
        <v>151409785</v>
      </c>
      <c r="D203" s="26">
        <f>IFERROR(SUMIF(Servicios_Promotores!$B:$B,C203,Servicios_Promotores!$R:$R),0)</f>
        <v>84.665000010499995</v>
      </c>
      <c r="E203" s="26">
        <f>IFERROR(SUMIF(Pago_GERE!$B:$B,C203,Pago_GERE!$R:$R),0)</f>
        <v>108.66500000849999</v>
      </c>
      <c r="F203" s="26">
        <f>IFERROR(SUMIF(Hoja2!$H:$H,C203,Hoja2!$U:$U),0)</f>
        <v>0</v>
      </c>
      <c r="G203" s="17" t="str">
        <f>IFERROR(VLOOKUP(C203,Hoja3!$C:$D,2,FALSE),"")</f>
        <v>AMERICA BRENDA</v>
      </c>
      <c r="H203" s="22">
        <v>46099</v>
      </c>
      <c r="I203" s="17" t="s">
        <v>197</v>
      </c>
      <c r="J203" s="17" t="s">
        <v>151</v>
      </c>
      <c r="K203" s="17" t="s">
        <v>42</v>
      </c>
      <c r="L203" s="17">
        <v>10001013</v>
      </c>
      <c r="M203" s="17" t="s">
        <v>653</v>
      </c>
      <c r="N203" s="17">
        <v>23332352</v>
      </c>
      <c r="O203" s="17" t="s">
        <v>652</v>
      </c>
      <c r="P203" s="17" t="s">
        <v>148</v>
      </c>
      <c r="Q203" s="17" t="s">
        <v>253</v>
      </c>
      <c r="R203" s="17" t="s">
        <v>652</v>
      </c>
      <c r="S203" s="17" t="s">
        <v>147</v>
      </c>
      <c r="T203" s="17" t="s">
        <v>146</v>
      </c>
      <c r="U203" s="17" t="s">
        <v>251</v>
      </c>
      <c r="V203" s="17" t="s">
        <v>352</v>
      </c>
      <c r="W203" s="17" t="s">
        <v>341</v>
      </c>
    </row>
    <row r="204" spans="1:23" x14ac:dyDescent="0.45">
      <c r="A204" s="17" t="s">
        <v>254</v>
      </c>
      <c r="B204" s="22">
        <v>46155</v>
      </c>
      <c r="C204" s="17">
        <v>151505801</v>
      </c>
      <c r="D204" s="26">
        <f>IFERROR(SUMIF(Servicios_Promotores!$B:$B,C204,Servicios_Promotores!$R:$R),0)</f>
        <v>262.99999998999999</v>
      </c>
      <c r="E204" s="26">
        <f>IFERROR(SUMIF(Pago_GERE!$B:$B,C204,Pago_GERE!$R:$R),0)</f>
        <v>187.000000005</v>
      </c>
      <c r="F204" s="26">
        <f>IFERROR(SUMIF(Hoja2!$H:$H,C204,Hoja2!$U:$U),0)</f>
        <v>0</v>
      </c>
      <c r="G204" s="17" t="str">
        <f>IFERROR(VLOOKUP(C204,Hoja3!$C:$D,2,FALSE),"")</f>
        <v>ANTHONY MORENO</v>
      </c>
      <c r="H204" s="22">
        <v>46156</v>
      </c>
      <c r="I204" s="17" t="s">
        <v>158</v>
      </c>
      <c r="J204" s="17" t="s">
        <v>151</v>
      </c>
      <c r="K204" s="17" t="s">
        <v>62</v>
      </c>
      <c r="L204" s="17">
        <v>10001013</v>
      </c>
      <c r="M204" s="17" t="s">
        <v>157</v>
      </c>
      <c r="N204" s="17">
        <v>25097040</v>
      </c>
      <c r="O204" s="17" t="s">
        <v>391</v>
      </c>
      <c r="P204" s="17" t="s">
        <v>392</v>
      </c>
      <c r="Q204" s="17" t="s">
        <v>253</v>
      </c>
      <c r="R204" s="17" t="s">
        <v>391</v>
      </c>
      <c r="S204" s="17" t="s">
        <v>155</v>
      </c>
      <c r="T204" s="17" t="s">
        <v>390</v>
      </c>
      <c r="U204" s="17" t="s">
        <v>251</v>
      </c>
      <c r="V204" s="17" t="s">
        <v>389</v>
      </c>
      <c r="W204" s="17" t="s">
        <v>388</v>
      </c>
    </row>
    <row r="205" spans="1:23" x14ac:dyDescent="0.45">
      <c r="A205" s="17" t="s">
        <v>254</v>
      </c>
      <c r="B205" s="22">
        <v>46048</v>
      </c>
      <c r="C205" s="17">
        <v>151316098</v>
      </c>
      <c r="D205" s="26">
        <f>IFERROR(SUMIF(Servicios_Promotores!$B:$B,C205,Servicios_Promotores!$R:$R),0)</f>
        <v>0</v>
      </c>
      <c r="E205" s="26">
        <f>IFERROR(SUMIF(Pago_GERE!$B:$B,C205,Pago_GERE!$R:$R),0)</f>
        <v>0</v>
      </c>
      <c r="F205" s="26">
        <f>IFERROR(SUMIF(Hoja2!$H:$H,C205,Hoja2!$U:$U),0)</f>
        <v>0</v>
      </c>
      <c r="G205" s="17" t="str">
        <f>IFERROR(VLOOKUP(C205,Hoja3!$C:$D,2,FALSE),"")</f>
        <v>DALAY GARAVITO</v>
      </c>
      <c r="H205" s="22">
        <v>46051</v>
      </c>
      <c r="I205" s="17" t="s">
        <v>209</v>
      </c>
      <c r="J205" s="17" t="s">
        <v>165</v>
      </c>
      <c r="K205" s="17" t="s">
        <v>42</v>
      </c>
      <c r="L205" s="17">
        <v>10001013</v>
      </c>
      <c r="M205" s="17" t="s">
        <v>239</v>
      </c>
      <c r="N205" s="17">
        <v>22033031</v>
      </c>
      <c r="O205" s="17" t="s">
        <v>1038</v>
      </c>
      <c r="P205" s="17" t="s">
        <v>148</v>
      </c>
      <c r="Q205" s="17" t="s">
        <v>253</v>
      </c>
      <c r="R205" s="17" t="s">
        <v>1038</v>
      </c>
      <c r="S205" s="17" t="s">
        <v>147</v>
      </c>
      <c r="T205" s="17" t="s">
        <v>146</v>
      </c>
      <c r="U205" s="17" t="s">
        <v>251</v>
      </c>
      <c r="V205" s="17" t="s">
        <v>613</v>
      </c>
      <c r="W205" s="17" t="s">
        <v>361</v>
      </c>
    </row>
    <row r="206" spans="1:23" x14ac:dyDescent="0.45">
      <c r="A206" s="17" t="s">
        <v>254</v>
      </c>
      <c r="B206" s="22">
        <v>46099</v>
      </c>
      <c r="C206" s="17">
        <v>151410942</v>
      </c>
      <c r="D206" s="26">
        <f>IFERROR(SUMIF(Servicios_Promotores!$B:$B,C206,Servicios_Promotores!$R:$R),0)</f>
        <v>13</v>
      </c>
      <c r="E206" s="26">
        <f>IFERROR(SUMIF(Pago_GERE!$B:$B,C206,Pago_GERE!$R:$R),0)</f>
        <v>36.999999998</v>
      </c>
      <c r="F206" s="26">
        <f>IFERROR(SUMIF(Hoja2!$H:$H,C206,Hoja2!$U:$U),0)</f>
        <v>0</v>
      </c>
      <c r="G206" s="17" t="str">
        <f>IFERROR(VLOOKUP(C206,Hoja3!$C:$D,2,FALSE),"")</f>
        <v>DALAY GARAVITO</v>
      </c>
      <c r="H206" s="22">
        <v>46104</v>
      </c>
      <c r="I206" s="17" t="s">
        <v>204</v>
      </c>
      <c r="J206" s="17" t="s">
        <v>151</v>
      </c>
      <c r="K206" s="17" t="s">
        <v>42</v>
      </c>
      <c r="L206" s="17">
        <v>10000064</v>
      </c>
      <c r="M206" s="17" t="s">
        <v>181</v>
      </c>
      <c r="N206" s="17">
        <v>23376830</v>
      </c>
      <c r="O206" s="17" t="s">
        <v>651</v>
      </c>
      <c r="P206" s="17" t="s">
        <v>224</v>
      </c>
      <c r="Q206" s="17" t="s">
        <v>253</v>
      </c>
      <c r="R206" s="17" t="s">
        <v>651</v>
      </c>
      <c r="S206" s="17" t="s">
        <v>155</v>
      </c>
      <c r="T206" s="17" t="s">
        <v>223</v>
      </c>
      <c r="U206" s="17" t="s">
        <v>251</v>
      </c>
      <c r="V206" s="17" t="s">
        <v>650</v>
      </c>
      <c r="W206" s="17" t="s">
        <v>649</v>
      </c>
    </row>
    <row r="207" spans="1:23" x14ac:dyDescent="0.45">
      <c r="A207" s="17" t="s">
        <v>254</v>
      </c>
      <c r="B207" s="22">
        <v>46099</v>
      </c>
      <c r="C207" s="17">
        <v>151410686</v>
      </c>
      <c r="D207" s="26">
        <f>IFERROR(SUMIF(Servicios_Promotores!$B:$B,C207,Servicios_Promotores!$R:$R),0)</f>
        <v>134.66500000849999</v>
      </c>
      <c r="E207" s="26">
        <f>IFERROR(SUMIF(Pago_GERE!$B:$B,C207,Pago_GERE!$R:$R),0)</f>
        <v>108.66500000849999</v>
      </c>
      <c r="F207" s="26">
        <f>IFERROR(SUMIF(Hoja2!$H:$H,C207,Hoja2!$U:$U),0)</f>
        <v>0</v>
      </c>
      <c r="G207" s="17" t="str">
        <f>IFERROR(VLOOKUP(C207,Hoja3!$C:$D,2,FALSE),"")</f>
        <v>DALAY GARAVITO</v>
      </c>
      <c r="H207" s="22">
        <v>46101</v>
      </c>
      <c r="I207" s="17" t="s">
        <v>163</v>
      </c>
      <c r="J207" s="17" t="s">
        <v>151</v>
      </c>
      <c r="K207" s="17" t="s">
        <v>55</v>
      </c>
      <c r="L207" s="17">
        <v>10000064</v>
      </c>
      <c r="M207" s="17" t="s">
        <v>181</v>
      </c>
      <c r="N207" s="17">
        <v>23382543</v>
      </c>
      <c r="O207" s="17" t="s">
        <v>648</v>
      </c>
      <c r="P207" s="17" t="s">
        <v>221</v>
      </c>
      <c r="Q207" s="17" t="s">
        <v>253</v>
      </c>
      <c r="R207" s="17" t="s">
        <v>648</v>
      </c>
      <c r="S207" s="17" t="s">
        <v>147</v>
      </c>
      <c r="T207" s="17" t="s">
        <v>55</v>
      </c>
      <c r="U207" s="17" t="s">
        <v>251</v>
      </c>
      <c r="V207" s="17" t="s">
        <v>250</v>
      </c>
      <c r="W207" s="17" t="s">
        <v>249</v>
      </c>
    </row>
    <row r="208" spans="1:23" x14ac:dyDescent="0.45">
      <c r="A208" s="17" t="s">
        <v>254</v>
      </c>
      <c r="B208" s="22">
        <v>46100</v>
      </c>
      <c r="C208" s="17">
        <v>151413164</v>
      </c>
      <c r="D208" s="26">
        <f>IFERROR(SUMIF(Servicios_Promotores!$B:$B,C208,Servicios_Promotores!$R:$R),0)</f>
        <v>334.66500000050002</v>
      </c>
      <c r="E208" s="26">
        <f>IFERROR(SUMIF(Pago_GERE!$B:$B,C208,Pago_GERE!$R:$R),0)</f>
        <v>258.66500002849995</v>
      </c>
      <c r="F208" s="26">
        <f>IFERROR(SUMIF(Hoja2!$H:$H,C208,Hoja2!$U:$U),0)</f>
        <v>0</v>
      </c>
      <c r="G208" s="17" t="str">
        <f>IFERROR(VLOOKUP(C208,Hoja3!$C:$D,2,FALSE),"")</f>
        <v>DALAY GARAVITO</v>
      </c>
      <c r="H208" s="22">
        <v>46107</v>
      </c>
      <c r="I208" s="17" t="s">
        <v>657</v>
      </c>
      <c r="J208" s="17" t="s">
        <v>165</v>
      </c>
      <c r="K208" s="17" t="s">
        <v>39</v>
      </c>
      <c r="L208" s="17">
        <v>10000064</v>
      </c>
      <c r="M208" s="17" t="s">
        <v>161</v>
      </c>
      <c r="N208" s="17">
        <v>23437284</v>
      </c>
      <c r="O208" s="17" t="s">
        <v>656</v>
      </c>
      <c r="P208" s="17" t="s">
        <v>160</v>
      </c>
      <c r="Q208" s="17" t="s">
        <v>253</v>
      </c>
      <c r="R208" s="17" t="s">
        <v>656</v>
      </c>
      <c r="S208" s="17" t="s">
        <v>155</v>
      </c>
      <c r="T208" s="17" t="s">
        <v>159</v>
      </c>
      <c r="U208" s="17" t="s">
        <v>251</v>
      </c>
      <c r="V208" s="17" t="s">
        <v>655</v>
      </c>
      <c r="W208" s="17" t="s">
        <v>654</v>
      </c>
    </row>
    <row r="209" spans="1:23" x14ac:dyDescent="0.45">
      <c r="A209" s="17" t="s">
        <v>254</v>
      </c>
      <c r="B209" s="22">
        <v>46113</v>
      </c>
      <c r="C209" s="17">
        <v>151436375</v>
      </c>
      <c r="D209" s="26">
        <f>IFERROR(SUMIF(Servicios_Promotores!$B:$B,C209,Servicios_Promotores!$R:$R),0)</f>
        <v>262.99999998999999</v>
      </c>
      <c r="E209" s="26">
        <f>IFERROR(SUMIF(Pago_GERE!$B:$B,C209,Pago_GERE!$R:$R),0)</f>
        <v>187.00000001799998</v>
      </c>
      <c r="F209" s="26">
        <f>IFERROR(SUMIF(Hoja2!$H:$H,C209,Hoja2!$U:$U),0)</f>
        <v>1378</v>
      </c>
      <c r="G209" s="17" t="str">
        <f>IFERROR(VLOOKUP(C209,Hoja3!$C:$D,2,FALSE),"")</f>
        <v>DALAY GARAVITO</v>
      </c>
      <c r="H209" s="22">
        <v>46113</v>
      </c>
      <c r="I209" s="17" t="s">
        <v>152</v>
      </c>
      <c r="J209" s="17" t="s">
        <v>151</v>
      </c>
      <c r="K209" s="17" t="s">
        <v>39</v>
      </c>
      <c r="L209" s="17">
        <v>10000064</v>
      </c>
      <c r="M209" s="17" t="s">
        <v>161</v>
      </c>
      <c r="N209" s="17">
        <v>23983232</v>
      </c>
      <c r="O209" s="17" t="s">
        <v>399</v>
      </c>
      <c r="P209" s="17" t="s">
        <v>170</v>
      </c>
      <c r="Q209" s="17" t="s">
        <v>253</v>
      </c>
      <c r="R209" s="17" t="s">
        <v>399</v>
      </c>
      <c r="S209" s="17" t="s">
        <v>147</v>
      </c>
      <c r="T209" s="17" t="s">
        <v>169</v>
      </c>
      <c r="U209" s="17" t="s">
        <v>251</v>
      </c>
      <c r="V209" s="17" t="s">
        <v>398</v>
      </c>
      <c r="W209" s="17" t="s">
        <v>397</v>
      </c>
    </row>
    <row r="210" spans="1:23" x14ac:dyDescent="0.45">
      <c r="A210" s="17" t="s">
        <v>254</v>
      </c>
      <c r="B210" s="22">
        <v>46119</v>
      </c>
      <c r="C210" s="17">
        <v>151445871</v>
      </c>
      <c r="D210" s="26">
        <f>IFERROR(SUMIF(Servicios_Promotores!$B:$B,C210,Servicios_Promotores!$R:$R),0)</f>
        <v>262.99999998999999</v>
      </c>
      <c r="E210" s="26">
        <f>IFERROR(SUMIF(Pago_GERE!$B:$B,C210,Pago_GERE!$R:$R),0)</f>
        <v>187.00000001799998</v>
      </c>
      <c r="F210" s="26">
        <f>IFERROR(SUMIF(Hoja2!$H:$H,C210,Hoja2!$U:$U),0)</f>
        <v>0</v>
      </c>
      <c r="G210" s="17" t="str">
        <f>IFERROR(VLOOKUP(C210,Hoja3!$C:$D,2,FALSE),"")</f>
        <v>EDUARDO</v>
      </c>
      <c r="H210" s="22">
        <v>46121</v>
      </c>
      <c r="I210" s="17" t="s">
        <v>152</v>
      </c>
      <c r="J210" s="17" t="s">
        <v>165</v>
      </c>
      <c r="K210" s="17" t="s">
        <v>36</v>
      </c>
      <c r="L210" s="17">
        <v>10001013</v>
      </c>
      <c r="M210" s="17" t="s">
        <v>183</v>
      </c>
      <c r="N210" s="17">
        <v>24135942</v>
      </c>
      <c r="O210" s="17" t="s">
        <v>440</v>
      </c>
      <c r="P210" s="17" t="s">
        <v>174</v>
      </c>
      <c r="Q210" s="17" t="s">
        <v>253</v>
      </c>
      <c r="R210" s="17" t="s">
        <v>440</v>
      </c>
      <c r="S210" s="17" t="s">
        <v>147</v>
      </c>
      <c r="T210" s="17" t="s">
        <v>173</v>
      </c>
      <c r="U210" s="17" t="s">
        <v>251</v>
      </c>
      <c r="V210" s="17" t="s">
        <v>439</v>
      </c>
      <c r="W210" s="17" t="s">
        <v>438</v>
      </c>
    </row>
    <row r="211" spans="1:23" x14ac:dyDescent="0.45">
      <c r="A211" s="17" t="s">
        <v>254</v>
      </c>
      <c r="B211" s="22">
        <v>46118</v>
      </c>
      <c r="C211" s="17">
        <v>151443918</v>
      </c>
      <c r="D211" s="26">
        <f>IFERROR(SUMIF(Servicios_Promotores!$B:$B,C211,Servicios_Promotores!$R:$R),0)</f>
        <v>262.99999998999999</v>
      </c>
      <c r="E211" s="26">
        <f>IFERROR(SUMIF(Pago_GERE!$B:$B,C211,Pago_GERE!$R:$R),0)</f>
        <v>187.00000001799998</v>
      </c>
      <c r="F211" s="26">
        <f>IFERROR(SUMIF(Hoja2!$H:$H,C211,Hoja2!$U:$U),0)</f>
        <v>1320</v>
      </c>
      <c r="G211" s="17" t="str">
        <f>IFERROR(VLOOKUP(C211,Hoja3!$C:$D,2,FALSE),"")</f>
        <v>EDUARDO</v>
      </c>
      <c r="H211" s="22">
        <v>46121</v>
      </c>
      <c r="I211" s="17" t="s">
        <v>197</v>
      </c>
      <c r="J211" s="17" t="s">
        <v>151</v>
      </c>
      <c r="K211" s="17" t="s">
        <v>36</v>
      </c>
      <c r="L211" s="17">
        <v>10001013</v>
      </c>
      <c r="M211" s="17" t="s">
        <v>183</v>
      </c>
      <c r="N211" s="17">
        <v>24068820</v>
      </c>
      <c r="O211" s="17" t="s">
        <v>429</v>
      </c>
      <c r="P211" s="17" t="s">
        <v>174</v>
      </c>
      <c r="Q211" s="17" t="s">
        <v>253</v>
      </c>
      <c r="R211" s="17" t="s">
        <v>429</v>
      </c>
      <c r="S211" s="17" t="s">
        <v>147</v>
      </c>
      <c r="T211" s="17" t="s">
        <v>173</v>
      </c>
      <c r="U211" s="17" t="s">
        <v>251</v>
      </c>
      <c r="V211" s="17" t="s">
        <v>428</v>
      </c>
      <c r="W211" s="17" t="s">
        <v>427</v>
      </c>
    </row>
    <row r="212" spans="1:23" x14ac:dyDescent="0.45">
      <c r="A212" s="17" t="s">
        <v>254</v>
      </c>
      <c r="B212" s="22">
        <v>46118</v>
      </c>
      <c r="C212" s="17">
        <v>151443822</v>
      </c>
      <c r="D212" s="26">
        <f>IFERROR(SUMIF(Servicios_Promotores!$B:$B,C212,Servicios_Promotores!$R:$R),0)</f>
        <v>262.99999998999999</v>
      </c>
      <c r="E212" s="26">
        <f>IFERROR(SUMIF(Pago_GERE!$B:$B,C212,Pago_GERE!$R:$R),0)</f>
        <v>187.00000001799998</v>
      </c>
      <c r="F212" s="26">
        <f>IFERROR(SUMIF(Hoja2!$H:$H,C212,Hoja2!$U:$U),0)</f>
        <v>0</v>
      </c>
      <c r="G212" s="17" t="str">
        <f>IFERROR(VLOOKUP(C212,Hoja3!$C:$D,2,FALSE),"")</f>
        <v>EDUARDO</v>
      </c>
      <c r="H212" s="22">
        <v>46125</v>
      </c>
      <c r="I212" s="17" t="s">
        <v>152</v>
      </c>
      <c r="J212" s="17" t="s">
        <v>165</v>
      </c>
      <c r="K212" s="17" t="s">
        <v>31</v>
      </c>
      <c r="L212" s="17">
        <v>10001013</v>
      </c>
      <c r="M212" s="17" t="s">
        <v>183</v>
      </c>
      <c r="N212" s="17">
        <v>24212550</v>
      </c>
      <c r="O212" s="17" t="s">
        <v>426</v>
      </c>
      <c r="P212" s="17" t="s">
        <v>179</v>
      </c>
      <c r="Q212" s="17" t="s">
        <v>253</v>
      </c>
      <c r="R212" s="17" t="s">
        <v>426</v>
      </c>
      <c r="S212" s="17" t="s">
        <v>147</v>
      </c>
      <c r="T212" s="17" t="s">
        <v>178</v>
      </c>
      <c r="U212" s="17" t="s">
        <v>251</v>
      </c>
      <c r="V212" s="17" t="s">
        <v>425</v>
      </c>
      <c r="W212" s="17" t="s">
        <v>424</v>
      </c>
    </row>
    <row r="213" spans="1:23" x14ac:dyDescent="0.45">
      <c r="A213" s="17" t="s">
        <v>254</v>
      </c>
      <c r="B213" s="22">
        <v>46116</v>
      </c>
      <c r="C213" s="17">
        <v>151440349</v>
      </c>
      <c r="D213" s="26">
        <f>IFERROR(SUMIF(Servicios_Promotores!$B:$B,C213,Servicios_Promotores!$R:$R),0)</f>
        <v>317.99999999950001</v>
      </c>
      <c r="E213" s="26">
        <f>IFERROR(SUMIF(Pago_GERE!$B:$B,C213,Pago_GERE!$R:$R),0)</f>
        <v>272.00000003149995</v>
      </c>
      <c r="F213" s="26">
        <f>IFERROR(SUMIF(Hoja2!$H:$H,C213,Hoja2!$U:$U),0)</f>
        <v>0</v>
      </c>
      <c r="G213" s="17" t="str">
        <f>IFERROR(VLOOKUP(C213,Hoja3!$C:$D,2,FALSE),"")</f>
        <v>EDUARDO</v>
      </c>
      <c r="H213" s="22">
        <v>46119</v>
      </c>
      <c r="I213" s="17" t="s">
        <v>152</v>
      </c>
      <c r="J213" s="17" t="s">
        <v>165</v>
      </c>
      <c r="K213" s="17" t="s">
        <v>42</v>
      </c>
      <c r="L213" s="17">
        <v>10001013</v>
      </c>
      <c r="M213" s="17" t="s">
        <v>183</v>
      </c>
      <c r="N213" s="17">
        <v>24022634</v>
      </c>
      <c r="O213" s="17" t="s">
        <v>423</v>
      </c>
      <c r="P213" s="17" t="s">
        <v>192</v>
      </c>
      <c r="Q213" s="17" t="s">
        <v>253</v>
      </c>
      <c r="R213" s="17" t="s">
        <v>423</v>
      </c>
      <c r="S213" s="17" t="s">
        <v>147</v>
      </c>
      <c r="T213" s="17" t="s">
        <v>146</v>
      </c>
      <c r="U213" s="17" t="s">
        <v>251</v>
      </c>
      <c r="V213" s="17" t="s">
        <v>422</v>
      </c>
      <c r="W213" s="17" t="s">
        <v>412</v>
      </c>
    </row>
    <row r="214" spans="1:23" x14ac:dyDescent="0.45">
      <c r="A214" s="17" t="s">
        <v>254</v>
      </c>
      <c r="B214" s="22">
        <v>46116</v>
      </c>
      <c r="C214" s="17">
        <v>151440375</v>
      </c>
      <c r="D214" s="26">
        <f>IFERROR(SUMIF(Servicios_Promotores!$B:$B,C214,Servicios_Promotores!$R:$R),0)</f>
        <v>262.99999998999999</v>
      </c>
      <c r="E214" s="26">
        <f>IFERROR(SUMIF(Pago_GERE!$B:$B,C214,Pago_GERE!$R:$R),0)</f>
        <v>187.00000001799998</v>
      </c>
      <c r="F214" s="26">
        <f>IFERROR(SUMIF(Hoja2!$H:$H,C214,Hoja2!$U:$U),0)</f>
        <v>1198</v>
      </c>
      <c r="G214" s="17" t="str">
        <f>IFERROR(VLOOKUP(C214,Hoja3!$C:$D,2,FALSE),"")</f>
        <v>EDUARDO</v>
      </c>
      <c r="H214" s="22">
        <v>46118</v>
      </c>
      <c r="I214" s="17" t="s">
        <v>163</v>
      </c>
      <c r="J214" s="17" t="s">
        <v>151</v>
      </c>
      <c r="K214" s="17" t="s">
        <v>42</v>
      </c>
      <c r="L214" s="17">
        <v>10001013</v>
      </c>
      <c r="M214" s="17" t="s">
        <v>183</v>
      </c>
      <c r="N214" s="17">
        <v>24022834</v>
      </c>
      <c r="O214" s="17" t="s">
        <v>411</v>
      </c>
      <c r="P214" s="17" t="s">
        <v>224</v>
      </c>
      <c r="Q214" s="17" t="s">
        <v>253</v>
      </c>
      <c r="R214" s="17" t="s">
        <v>411</v>
      </c>
      <c r="S214" s="17" t="s">
        <v>147</v>
      </c>
      <c r="T214" s="17" t="s">
        <v>223</v>
      </c>
      <c r="U214" s="17" t="s">
        <v>251</v>
      </c>
      <c r="V214" s="17" t="s">
        <v>410</v>
      </c>
      <c r="W214" s="17" t="s">
        <v>409</v>
      </c>
    </row>
    <row r="215" spans="1:23" x14ac:dyDescent="0.45">
      <c r="A215" s="17" t="s">
        <v>254</v>
      </c>
      <c r="B215" s="22">
        <v>46125</v>
      </c>
      <c r="C215" s="17">
        <v>151456294</v>
      </c>
      <c r="D215" s="26">
        <f>IFERROR(SUMIF(Servicios_Promotores!$B:$B,C215,Servicios_Promotores!$R:$R),0)</f>
        <v>317.99999997999998</v>
      </c>
      <c r="E215" s="26">
        <f>IFERROR(SUMIF(Pago_GERE!$B:$B,C215,Pago_GERE!$R:$R),0)</f>
        <v>272.00000002499996</v>
      </c>
      <c r="F215" s="26">
        <f>IFERROR(SUMIF(Hoja2!$H:$H,C215,Hoja2!$U:$U),0)</f>
        <v>0</v>
      </c>
      <c r="G215" s="17" t="str">
        <f>IFERROR(VLOOKUP(C215,Hoja3!$C:$D,2,FALSE),"")</f>
        <v>EDUARDO</v>
      </c>
      <c r="H215" s="22">
        <v>46127</v>
      </c>
      <c r="I215" s="17" t="s">
        <v>163</v>
      </c>
      <c r="J215" s="17" t="s">
        <v>151</v>
      </c>
      <c r="K215" s="17" t="s">
        <v>45</v>
      </c>
      <c r="L215" s="17">
        <v>10001013</v>
      </c>
      <c r="M215" s="17" t="s">
        <v>157</v>
      </c>
      <c r="N215" s="17">
        <v>24229396</v>
      </c>
      <c r="O215" s="17" t="s">
        <v>450</v>
      </c>
      <c r="P215" s="17" t="s">
        <v>309</v>
      </c>
      <c r="Q215" s="17" t="s">
        <v>253</v>
      </c>
      <c r="R215" s="17" t="s">
        <v>450</v>
      </c>
      <c r="S215" s="17" t="s">
        <v>147</v>
      </c>
      <c r="T215" s="17" t="s">
        <v>307</v>
      </c>
      <c r="U215" s="17" t="s">
        <v>251</v>
      </c>
      <c r="V215" s="17" t="s">
        <v>448</v>
      </c>
      <c r="W215" s="17" t="s">
        <v>447</v>
      </c>
    </row>
    <row r="216" spans="1:23" x14ac:dyDescent="0.45">
      <c r="A216" s="17" t="s">
        <v>254</v>
      </c>
      <c r="B216" s="22">
        <v>46093</v>
      </c>
      <c r="C216" s="17">
        <v>151401720</v>
      </c>
      <c r="D216" s="26">
        <f>IFERROR(SUMIF(Servicios_Promotores!$B:$B,C216,Servicios_Promotores!$R:$R),0)</f>
        <v>84.665000010499995</v>
      </c>
      <c r="E216" s="26">
        <f>IFERROR(SUMIF(Pago_GERE!$B:$B,C216,Pago_GERE!$R:$R),0)</f>
        <v>108.66500000849999</v>
      </c>
      <c r="F216" s="26">
        <f>IFERROR(SUMIF(Hoja2!$H:$H,C216,Hoja2!$U:$U),0)</f>
        <v>0</v>
      </c>
      <c r="G216" s="17" t="str">
        <f>IFERROR(VLOOKUP(C216,Hoja3!$C:$D,2,FALSE),"")</f>
        <v>ELIA</v>
      </c>
      <c r="H216" s="22">
        <v>46099</v>
      </c>
      <c r="I216" s="17" t="s">
        <v>163</v>
      </c>
      <c r="J216" s="17" t="s">
        <v>151</v>
      </c>
      <c r="K216" s="17" t="s">
        <v>42</v>
      </c>
      <c r="L216" s="17">
        <v>10000064</v>
      </c>
      <c r="M216" s="17" t="s">
        <v>536</v>
      </c>
      <c r="N216" s="17">
        <v>22996125</v>
      </c>
      <c r="O216" s="17" t="s">
        <v>638</v>
      </c>
      <c r="P216" s="17" t="s">
        <v>192</v>
      </c>
      <c r="Q216" s="17" t="s">
        <v>253</v>
      </c>
      <c r="R216" s="17" t="s">
        <v>638</v>
      </c>
      <c r="S216" s="17" t="s">
        <v>147</v>
      </c>
      <c r="T216" s="17" t="s">
        <v>146</v>
      </c>
      <c r="U216" s="17" t="s">
        <v>251</v>
      </c>
      <c r="V216" s="17" t="s">
        <v>637</v>
      </c>
      <c r="W216" s="17" t="s">
        <v>636</v>
      </c>
    </row>
    <row r="217" spans="1:23" x14ac:dyDescent="0.45">
      <c r="A217" s="17" t="s">
        <v>254</v>
      </c>
      <c r="B217" s="22">
        <v>46092</v>
      </c>
      <c r="C217" s="17">
        <v>151398945</v>
      </c>
      <c r="D217" s="26">
        <f>IFERROR(SUMIF(Servicios_Promotores!$B:$B,C217,Servicios_Promotores!$R:$R),0)</f>
        <v>49.999999998</v>
      </c>
      <c r="E217" s="26">
        <f>IFERROR(SUMIF(Pago_GERE!$B:$B,C217,Pago_GERE!$R:$R),0)</f>
        <v>49.999999998</v>
      </c>
      <c r="F217" s="26">
        <f>IFERROR(SUMIF(Hoja2!$H:$H,C217,Hoja2!$U:$U),0)</f>
        <v>0</v>
      </c>
      <c r="G217" s="17" t="str">
        <f>IFERROR(VLOOKUP(C217,Hoja3!$C:$D,2,FALSE),"")</f>
        <v>ELIA</v>
      </c>
      <c r="H217" s="22">
        <v>46094</v>
      </c>
      <c r="I217" s="17" t="s">
        <v>209</v>
      </c>
      <c r="J217" s="17" t="s">
        <v>165</v>
      </c>
      <c r="K217" s="17" t="s">
        <v>42</v>
      </c>
      <c r="L217" s="17">
        <v>10000064</v>
      </c>
      <c r="M217" s="17" t="s">
        <v>536</v>
      </c>
      <c r="N217" s="17">
        <v>23003044</v>
      </c>
      <c r="O217" s="17" t="s">
        <v>635</v>
      </c>
      <c r="P217" s="17" t="s">
        <v>224</v>
      </c>
      <c r="Q217" s="17" t="s">
        <v>253</v>
      </c>
      <c r="R217" s="17" t="s">
        <v>635</v>
      </c>
      <c r="S217" s="17" t="s">
        <v>147</v>
      </c>
      <c r="T217" s="17" t="s">
        <v>223</v>
      </c>
      <c r="U217" s="17" t="s">
        <v>251</v>
      </c>
      <c r="V217" s="17" t="s">
        <v>634</v>
      </c>
      <c r="W217" s="17" t="s">
        <v>409</v>
      </c>
    </row>
    <row r="218" spans="1:23" x14ac:dyDescent="0.45">
      <c r="A218" s="17" t="s">
        <v>254</v>
      </c>
      <c r="B218" s="22">
        <v>46092</v>
      </c>
      <c r="C218" s="17">
        <v>151398892</v>
      </c>
      <c r="D218" s="26">
        <f>IFERROR(SUMIF(Servicios_Promotores!$B:$B,C218,Servicios_Promotores!$R:$R),0)</f>
        <v>0</v>
      </c>
      <c r="E218" s="26">
        <f>IFERROR(SUMIF(Pago_GERE!$B:$B,C218,Pago_GERE!$R:$R),0)</f>
        <v>0</v>
      </c>
      <c r="F218" s="26">
        <f>IFERROR(SUMIF(Hoja2!$H:$H,C218,Hoja2!$U:$U),0)</f>
        <v>1198</v>
      </c>
      <c r="G218" s="17" t="str">
        <f>IFERROR(VLOOKUP(C218,Hoja3!$C:$D,2,FALSE),"")</f>
        <v>ELIA</v>
      </c>
      <c r="H218" s="22">
        <v>46093</v>
      </c>
      <c r="I218" s="17" t="s">
        <v>163</v>
      </c>
      <c r="J218" s="17" t="s">
        <v>151</v>
      </c>
      <c r="K218" s="17" t="s">
        <v>42</v>
      </c>
      <c r="L218" s="17">
        <v>10000064</v>
      </c>
      <c r="M218" s="17" t="s">
        <v>536</v>
      </c>
      <c r="N218" s="17">
        <v>22952335</v>
      </c>
      <c r="O218" s="17" t="s">
        <v>627</v>
      </c>
      <c r="P218" s="17" t="s">
        <v>224</v>
      </c>
      <c r="Q218" s="17" t="s">
        <v>253</v>
      </c>
      <c r="R218" s="17" t="s">
        <v>627</v>
      </c>
      <c r="S218" s="17" t="s">
        <v>147</v>
      </c>
      <c r="T218" s="17" t="s">
        <v>223</v>
      </c>
      <c r="U218" s="17" t="s">
        <v>251</v>
      </c>
      <c r="V218" s="17" t="s">
        <v>626</v>
      </c>
      <c r="W218" s="17" t="s">
        <v>409</v>
      </c>
    </row>
    <row r="219" spans="1:23" x14ac:dyDescent="0.45">
      <c r="A219" s="17" t="s">
        <v>254</v>
      </c>
      <c r="B219" s="22">
        <v>46091</v>
      </c>
      <c r="C219" s="17">
        <v>151396773</v>
      </c>
      <c r="D219" s="26">
        <f>IFERROR(SUMIF(Servicios_Promotores!$B:$B,C219,Servicios_Promotores!$R:$R),0)</f>
        <v>75.000000009999994</v>
      </c>
      <c r="E219" s="26">
        <f>IFERROR(SUMIF(Pago_GERE!$B:$B,C219,Pago_GERE!$R:$R),0)</f>
        <v>75.000000009999994</v>
      </c>
      <c r="F219" s="26">
        <f>IFERROR(SUMIF(Hoja2!$H:$H,C219,Hoja2!$U:$U),0)</f>
        <v>0</v>
      </c>
      <c r="G219" s="17" t="str">
        <f>IFERROR(VLOOKUP(C219,Hoja3!$C:$D,2,FALSE),"")</f>
        <v>ELIA</v>
      </c>
      <c r="H219" s="22">
        <v>46093</v>
      </c>
      <c r="I219" s="17" t="s">
        <v>152</v>
      </c>
      <c r="J219" s="17" t="s">
        <v>165</v>
      </c>
      <c r="K219" s="17" t="s">
        <v>42</v>
      </c>
      <c r="L219" s="17">
        <v>10000064</v>
      </c>
      <c r="M219" s="17" t="s">
        <v>536</v>
      </c>
      <c r="N219" s="17">
        <v>22971331</v>
      </c>
      <c r="O219" s="17" t="s">
        <v>620</v>
      </c>
      <c r="P219" s="17" t="s">
        <v>148</v>
      </c>
      <c r="Q219" s="17" t="s">
        <v>253</v>
      </c>
      <c r="R219" s="17" t="s">
        <v>620</v>
      </c>
      <c r="S219" s="17" t="s">
        <v>147</v>
      </c>
      <c r="T219" s="17" t="s">
        <v>146</v>
      </c>
      <c r="U219" s="17" t="s">
        <v>251</v>
      </c>
      <c r="V219" s="17" t="s">
        <v>344</v>
      </c>
      <c r="W219" s="17" t="s">
        <v>341</v>
      </c>
    </row>
    <row r="220" spans="1:23" x14ac:dyDescent="0.45">
      <c r="A220" s="17" t="s">
        <v>254</v>
      </c>
      <c r="B220" s="22">
        <v>46085</v>
      </c>
      <c r="C220" s="17">
        <v>151386479</v>
      </c>
      <c r="D220" s="26">
        <f>IFERROR(SUMIF(Servicios_Promotores!$B:$B,C220,Servicios_Promotores!$R:$R),0)</f>
        <v>99.999999996</v>
      </c>
      <c r="E220" s="26">
        <f>IFERROR(SUMIF(Pago_GERE!$B:$B,C220,Pago_GERE!$R:$R),0)</f>
        <v>49.999999998</v>
      </c>
      <c r="F220" s="26">
        <f>IFERROR(SUMIF(Hoja2!$H:$H,C220,Hoja2!$U:$U),0)</f>
        <v>0</v>
      </c>
      <c r="G220" s="17" t="str">
        <f>IFERROR(VLOOKUP(C220,Hoja3!$C:$D,2,FALSE),"")</f>
        <v>ELIA</v>
      </c>
      <c r="H220" s="22">
        <v>46087</v>
      </c>
      <c r="I220" s="17" t="s">
        <v>163</v>
      </c>
      <c r="J220" s="17" t="s">
        <v>151</v>
      </c>
      <c r="K220" s="17" t="s">
        <v>39</v>
      </c>
      <c r="L220" s="17">
        <v>10000064</v>
      </c>
      <c r="M220" s="17" t="s">
        <v>536</v>
      </c>
      <c r="N220" s="17">
        <v>22783513</v>
      </c>
      <c r="O220" s="17" t="s">
        <v>557</v>
      </c>
      <c r="P220" s="17" t="s">
        <v>289</v>
      </c>
      <c r="Q220" s="17" t="s">
        <v>253</v>
      </c>
      <c r="R220" s="17" t="s">
        <v>557</v>
      </c>
      <c r="S220" s="17" t="s">
        <v>147</v>
      </c>
      <c r="T220" s="17" t="s">
        <v>184</v>
      </c>
      <c r="U220" s="17" t="s">
        <v>251</v>
      </c>
      <c r="V220" s="17" t="s">
        <v>556</v>
      </c>
      <c r="W220" s="17" t="s">
        <v>555</v>
      </c>
    </row>
    <row r="221" spans="1:23" x14ac:dyDescent="0.45">
      <c r="A221" s="17" t="s">
        <v>254</v>
      </c>
      <c r="B221" s="22">
        <v>46084</v>
      </c>
      <c r="C221" s="17">
        <v>151384648</v>
      </c>
      <c r="D221" s="26">
        <f>IFERROR(SUMIF(Servicios_Promotores!$B:$B,C221,Servicios_Promotores!$R:$R),0)</f>
        <v>49.999999998</v>
      </c>
      <c r="E221" s="26">
        <f>IFERROR(SUMIF(Pago_GERE!$B:$B,C221,Pago_GERE!$R:$R),0)</f>
        <v>49.999999998</v>
      </c>
      <c r="F221" s="26">
        <f>IFERROR(SUMIF(Hoja2!$H:$H,C221,Hoja2!$U:$U),0)</f>
        <v>0</v>
      </c>
      <c r="G221" s="17" t="str">
        <f>IFERROR(VLOOKUP(C221,Hoja3!$C:$D,2,FALSE),"")</f>
        <v>ELIA</v>
      </c>
      <c r="H221" s="22">
        <v>46087</v>
      </c>
      <c r="I221" s="17" t="s">
        <v>152</v>
      </c>
      <c r="J221" s="17" t="s">
        <v>151</v>
      </c>
      <c r="K221" s="17" t="s">
        <v>45</v>
      </c>
      <c r="L221" s="17">
        <v>10000064</v>
      </c>
      <c r="M221" s="17" t="s">
        <v>536</v>
      </c>
      <c r="N221" s="17">
        <v>22771134</v>
      </c>
      <c r="O221" s="17" t="s">
        <v>544</v>
      </c>
      <c r="P221" s="17" t="s">
        <v>309</v>
      </c>
      <c r="Q221" s="17" t="s">
        <v>253</v>
      </c>
      <c r="R221" s="17" t="s">
        <v>544</v>
      </c>
      <c r="S221" s="17" t="s">
        <v>147</v>
      </c>
      <c r="T221" s="17" t="s">
        <v>307</v>
      </c>
      <c r="U221" s="17" t="s">
        <v>251</v>
      </c>
      <c r="V221" s="17" t="s">
        <v>543</v>
      </c>
      <c r="W221" s="17" t="s">
        <v>542</v>
      </c>
    </row>
    <row r="222" spans="1:23" x14ac:dyDescent="0.45">
      <c r="A222" s="17"/>
      <c r="B222" s="22">
        <v>46079</v>
      </c>
      <c r="C222" s="17">
        <v>151375583</v>
      </c>
      <c r="D222" s="26">
        <f>IFERROR(SUMIF(Servicios_Promotores!$B:$B,C222,Servicios_Promotores!$R:$R),0)</f>
        <v>0</v>
      </c>
      <c r="E222" s="26">
        <f>IFERROR(SUMIF(Pago_GERE!$B:$B,C222,Pago_GERE!$R:$R),0)</f>
        <v>0</v>
      </c>
      <c r="F222" s="26">
        <f>IFERROR(SUMIF(Hoja2!$H:$H,C222,Hoja2!$U:$U),0)</f>
        <v>0</v>
      </c>
      <c r="G222" s="17" t="str">
        <f>IFERROR(VLOOKUP(C222,Hoja3!$C:$D,2,FALSE),"")</f>
        <v>ESTRELLA</v>
      </c>
      <c r="H222" s="17"/>
      <c r="I222" s="17" t="s">
        <v>152</v>
      </c>
      <c r="J222" s="17" t="s">
        <v>165</v>
      </c>
      <c r="K222" s="17" t="s">
        <v>42</v>
      </c>
      <c r="L222" s="17">
        <v>10000064</v>
      </c>
      <c r="M222" s="17" t="s">
        <v>181</v>
      </c>
      <c r="N222" s="17">
        <v>151375583</v>
      </c>
      <c r="O222" s="17" t="s">
        <v>226</v>
      </c>
      <c r="P222" s="17" t="s">
        <v>224</v>
      </c>
      <c r="Q222" s="17"/>
      <c r="R222" s="17"/>
      <c r="S222" s="17" t="s">
        <v>147</v>
      </c>
      <c r="T222" s="17" t="s">
        <v>223</v>
      </c>
      <c r="U222" s="17" t="s">
        <v>153</v>
      </c>
      <c r="V222" s="17"/>
      <c r="W222" s="17"/>
    </row>
    <row r="223" spans="1:23" x14ac:dyDescent="0.45">
      <c r="A223" s="17"/>
      <c r="B223" s="22">
        <v>46079</v>
      </c>
      <c r="C223" s="17">
        <v>151375491</v>
      </c>
      <c r="D223" s="26">
        <f>IFERROR(SUMIF(Servicios_Promotores!$B:$B,C223,Servicios_Promotores!$R:$R),0)</f>
        <v>0</v>
      </c>
      <c r="E223" s="26">
        <f>IFERROR(SUMIF(Pago_GERE!$B:$B,C223,Pago_GERE!$R:$R),0)</f>
        <v>0</v>
      </c>
      <c r="F223" s="26">
        <f>IFERROR(SUMIF(Hoja2!$H:$H,C223,Hoja2!$U:$U),0)</f>
        <v>0</v>
      </c>
      <c r="G223" s="17" t="str">
        <f>IFERROR(VLOOKUP(C223,Hoja3!$C:$D,2,FALSE),"")</f>
        <v>ESTRELLA</v>
      </c>
      <c r="H223" s="17"/>
      <c r="I223" s="17" t="s">
        <v>152</v>
      </c>
      <c r="J223" s="17" t="s">
        <v>165</v>
      </c>
      <c r="K223" s="17" t="s">
        <v>42</v>
      </c>
      <c r="L223" s="17">
        <v>10000064</v>
      </c>
      <c r="M223" s="17" t="s">
        <v>181</v>
      </c>
      <c r="N223" s="17">
        <v>151375491</v>
      </c>
      <c r="O223" s="17" t="s">
        <v>225</v>
      </c>
      <c r="P223" s="17" t="s">
        <v>224</v>
      </c>
      <c r="Q223" s="17"/>
      <c r="R223" s="17"/>
      <c r="S223" s="17" t="s">
        <v>147</v>
      </c>
      <c r="T223" s="17" t="s">
        <v>223</v>
      </c>
      <c r="U223" s="17" t="s">
        <v>153</v>
      </c>
      <c r="V223" s="17"/>
      <c r="W223" s="17"/>
    </row>
    <row r="224" spans="1:23" x14ac:dyDescent="0.45">
      <c r="A224" s="17" t="s">
        <v>254</v>
      </c>
      <c r="B224" s="22">
        <v>46091</v>
      </c>
      <c r="C224" s="17">
        <v>151396798</v>
      </c>
      <c r="D224" s="26">
        <f>IFERROR(SUMIF(Servicios_Promotores!$B:$B,C224,Servicios_Promotores!$R:$R),0)</f>
        <v>0</v>
      </c>
      <c r="E224" s="26">
        <f>IFERROR(SUMIF(Pago_GERE!$B:$B,C224,Pago_GERE!$R:$R),0)</f>
        <v>0</v>
      </c>
      <c r="F224" s="26">
        <f>IFERROR(SUMIF(Hoja2!$H:$H,C224,Hoja2!$U:$U),0)</f>
        <v>899</v>
      </c>
      <c r="G224" s="17" t="str">
        <f>IFERROR(VLOOKUP(C224,Hoja3!$C:$D,2,FALSE),"")</f>
        <v>ESTRELLA</v>
      </c>
      <c r="H224" s="22">
        <v>46092</v>
      </c>
      <c r="I224" s="17" t="s">
        <v>158</v>
      </c>
      <c r="J224" s="17" t="s">
        <v>151</v>
      </c>
      <c r="K224" s="17" t="s">
        <v>42</v>
      </c>
      <c r="L224" s="17">
        <v>10000064</v>
      </c>
      <c r="M224" s="17" t="s">
        <v>193</v>
      </c>
      <c r="N224" s="17">
        <v>22936702</v>
      </c>
      <c r="O224" s="17" t="s">
        <v>622</v>
      </c>
      <c r="P224" s="17" t="s">
        <v>148</v>
      </c>
      <c r="Q224" s="17" t="s">
        <v>253</v>
      </c>
      <c r="R224" s="17" t="s">
        <v>622</v>
      </c>
      <c r="S224" s="17" t="s">
        <v>155</v>
      </c>
      <c r="T224" s="17" t="s">
        <v>146</v>
      </c>
      <c r="U224" s="17" t="s">
        <v>251</v>
      </c>
      <c r="V224" s="17" t="s">
        <v>613</v>
      </c>
      <c r="W224" s="17" t="s">
        <v>361</v>
      </c>
    </row>
    <row r="225" spans="1:23" x14ac:dyDescent="0.45">
      <c r="A225" s="17" t="s">
        <v>1065</v>
      </c>
      <c r="B225" s="22">
        <v>46091</v>
      </c>
      <c r="C225" s="17">
        <v>151396757</v>
      </c>
      <c r="D225" s="26">
        <f>IFERROR(SUMIF(Servicios_Promotores!$B:$B,C225,Servicios_Promotores!$R:$R),0)</f>
        <v>0</v>
      </c>
      <c r="E225" s="26">
        <f>IFERROR(SUMIF(Pago_GERE!$B:$B,C225,Pago_GERE!$R:$R),0)</f>
        <v>0</v>
      </c>
      <c r="F225" s="26">
        <f>IFERROR(SUMIF(Hoja2!$H:$H,C225,Hoja2!$U:$U),0)</f>
        <v>0</v>
      </c>
      <c r="G225" s="17" t="str">
        <f>IFERROR(VLOOKUP(C225,Hoja3!$C:$D,2,FALSE),"")</f>
        <v>ESTRELLA</v>
      </c>
      <c r="H225" s="17"/>
      <c r="I225" s="17" t="s">
        <v>163</v>
      </c>
      <c r="J225" s="17" t="s">
        <v>151</v>
      </c>
      <c r="K225" s="17" t="s">
        <v>42</v>
      </c>
      <c r="L225" s="17">
        <v>10001013</v>
      </c>
      <c r="M225" s="17" t="s">
        <v>205</v>
      </c>
      <c r="N225" s="17">
        <v>22929955</v>
      </c>
      <c r="O225" s="17" t="s">
        <v>1066</v>
      </c>
      <c r="P225" s="17" t="s">
        <v>148</v>
      </c>
      <c r="Q225" s="17" t="s">
        <v>1064</v>
      </c>
      <c r="R225" s="17" t="s">
        <v>1066</v>
      </c>
      <c r="S225" s="17" t="s">
        <v>147</v>
      </c>
      <c r="T225" s="17" t="s">
        <v>146</v>
      </c>
      <c r="U225" s="17" t="s">
        <v>251</v>
      </c>
      <c r="V225" s="17"/>
      <c r="W225" s="17"/>
    </row>
    <row r="226" spans="1:23" x14ac:dyDescent="0.45">
      <c r="A226" s="17" t="s">
        <v>1065</v>
      </c>
      <c r="B226" s="22">
        <v>46084</v>
      </c>
      <c r="C226" s="17">
        <v>151384220</v>
      </c>
      <c r="D226" s="26">
        <f>IFERROR(SUMIF(Servicios_Promotores!$B:$B,C226,Servicios_Promotores!$R:$R),0)</f>
        <v>0</v>
      </c>
      <c r="E226" s="26">
        <f>IFERROR(SUMIF(Pago_GERE!$B:$B,C226,Pago_GERE!$R:$R),0)</f>
        <v>0</v>
      </c>
      <c r="F226" s="26">
        <f>IFERROR(SUMIF(Hoja2!$H:$H,C226,Hoja2!$U:$U),0)</f>
        <v>0</v>
      </c>
      <c r="G226" s="17" t="str">
        <f>IFERROR(VLOOKUP(C226,Hoja3!$C:$D,2,FALSE),"")</f>
        <v>ESTRELLA</v>
      </c>
      <c r="H226" s="17"/>
      <c r="I226" s="17" t="s">
        <v>152</v>
      </c>
      <c r="J226" s="17" t="s">
        <v>151</v>
      </c>
      <c r="K226" s="17" t="s">
        <v>42</v>
      </c>
      <c r="L226" s="17">
        <v>10001013</v>
      </c>
      <c r="M226" s="17" t="s">
        <v>205</v>
      </c>
      <c r="N226" s="17">
        <v>22762316</v>
      </c>
      <c r="O226" s="17" t="s">
        <v>1066</v>
      </c>
      <c r="P226" s="17" t="s">
        <v>148</v>
      </c>
      <c r="Q226" s="17" t="s">
        <v>1064</v>
      </c>
      <c r="R226" s="17" t="s">
        <v>1066</v>
      </c>
      <c r="S226" s="17" t="s">
        <v>147</v>
      </c>
      <c r="T226" s="17" t="s">
        <v>146</v>
      </c>
      <c r="U226" s="17" t="s">
        <v>251</v>
      </c>
      <c r="V226" s="17"/>
      <c r="W226" s="17"/>
    </row>
    <row r="227" spans="1:23" x14ac:dyDescent="0.45">
      <c r="A227" s="17" t="s">
        <v>254</v>
      </c>
      <c r="B227" s="22">
        <v>46080</v>
      </c>
      <c r="C227" s="17">
        <v>151377414</v>
      </c>
      <c r="D227" s="26">
        <f>IFERROR(SUMIF(Servicios_Promotores!$B:$B,C227,Servicios_Promotores!$R:$R),0)</f>
        <v>0</v>
      </c>
      <c r="E227" s="26">
        <f>IFERROR(SUMIF(Pago_GERE!$B:$B,C227,Pago_GERE!$R:$R),0)</f>
        <v>0</v>
      </c>
      <c r="F227" s="26">
        <f>IFERROR(SUMIF(Hoja2!$H:$H,C227,Hoja2!$U:$U),0)</f>
        <v>1247</v>
      </c>
      <c r="G227" s="17" t="str">
        <f>IFERROR(VLOOKUP(C227,Hoja3!$C:$D,2,FALSE),"")</f>
        <v>ESTRELLA</v>
      </c>
      <c r="H227" s="22">
        <v>46083</v>
      </c>
      <c r="I227" s="17" t="s">
        <v>163</v>
      </c>
      <c r="J227" s="17" t="s">
        <v>151</v>
      </c>
      <c r="K227" s="17" t="s">
        <v>39</v>
      </c>
      <c r="L227" s="17">
        <v>10001013</v>
      </c>
      <c r="M227" s="17" t="s">
        <v>205</v>
      </c>
      <c r="N227" s="17">
        <v>22682922</v>
      </c>
      <c r="O227" s="17" t="s">
        <v>855</v>
      </c>
      <c r="P227" s="17" t="s">
        <v>160</v>
      </c>
      <c r="Q227" s="17" t="s">
        <v>253</v>
      </c>
      <c r="R227" s="17" t="s">
        <v>855</v>
      </c>
      <c r="S227" s="17" t="s">
        <v>147</v>
      </c>
      <c r="T227" s="17" t="s">
        <v>159</v>
      </c>
      <c r="U227" s="17" t="s">
        <v>251</v>
      </c>
      <c r="V227" s="17" t="s">
        <v>854</v>
      </c>
      <c r="W227" s="17" t="s">
        <v>853</v>
      </c>
    </row>
    <row r="228" spans="1:23" x14ac:dyDescent="0.45">
      <c r="A228" s="17" t="s">
        <v>254</v>
      </c>
      <c r="B228" s="22">
        <v>46080</v>
      </c>
      <c r="C228" s="17">
        <v>151377469</v>
      </c>
      <c r="D228" s="26">
        <f>IFERROR(SUMIF(Servicios_Promotores!$B:$B,C228,Servicios_Promotores!$R:$R),0)</f>
        <v>49.999999998</v>
      </c>
      <c r="E228" s="26">
        <f>IFERROR(SUMIF(Pago_GERE!$B:$B,C228,Pago_GERE!$R:$R),0)</f>
        <v>49.999999998</v>
      </c>
      <c r="F228" s="26">
        <f>IFERROR(SUMIF(Hoja2!$H:$H,C228,Hoja2!$U:$U),0)</f>
        <v>0</v>
      </c>
      <c r="G228" s="17" t="str">
        <f>IFERROR(VLOOKUP(C228,Hoja3!$C:$D,2,FALSE),"")</f>
        <v>ESTRELLA</v>
      </c>
      <c r="H228" s="22">
        <v>46086</v>
      </c>
      <c r="I228" s="17" t="s">
        <v>152</v>
      </c>
      <c r="J228" s="17" t="s">
        <v>165</v>
      </c>
      <c r="K228" s="17" t="s">
        <v>42</v>
      </c>
      <c r="L228" s="17">
        <v>10001013</v>
      </c>
      <c r="M228" s="17" t="s">
        <v>205</v>
      </c>
      <c r="N228" s="17">
        <v>22778280</v>
      </c>
      <c r="O228" s="17" t="s">
        <v>850</v>
      </c>
      <c r="P228" s="17" t="s">
        <v>224</v>
      </c>
      <c r="Q228" s="17" t="s">
        <v>253</v>
      </c>
      <c r="R228" s="17" t="s">
        <v>850</v>
      </c>
      <c r="S228" s="17" t="s">
        <v>147</v>
      </c>
      <c r="T228" s="17" t="s">
        <v>223</v>
      </c>
      <c r="U228" s="17" t="s">
        <v>251</v>
      </c>
      <c r="V228" s="17" t="s">
        <v>849</v>
      </c>
      <c r="W228" s="17" t="s">
        <v>848</v>
      </c>
    </row>
    <row r="229" spans="1:23" x14ac:dyDescent="0.45">
      <c r="A229" s="17" t="s">
        <v>254</v>
      </c>
      <c r="B229" s="22">
        <v>46099</v>
      </c>
      <c r="C229" s="17">
        <v>151409762</v>
      </c>
      <c r="D229" s="26">
        <f>IFERROR(SUMIF(Servicios_Promotores!$B:$B,C229,Servicios_Promotores!$R:$R),0)</f>
        <v>84.665000010499995</v>
      </c>
      <c r="E229" s="26">
        <f>IFERROR(SUMIF(Pago_GERE!$B:$B,C229,Pago_GERE!$R:$R),0)</f>
        <v>108.66500000849999</v>
      </c>
      <c r="F229" s="26">
        <f>IFERROR(SUMIF(Hoja2!$H:$H,C229,Hoja2!$U:$U),0)</f>
        <v>0</v>
      </c>
      <c r="G229" s="17" t="str">
        <f>IFERROR(VLOOKUP(C229,Hoja3!$C:$D,2,FALSE),"")</f>
        <v>ESTRELLA</v>
      </c>
      <c r="H229" s="22">
        <v>46101</v>
      </c>
      <c r="I229" s="17" t="s">
        <v>152</v>
      </c>
      <c r="J229" s="17" t="s">
        <v>151</v>
      </c>
      <c r="K229" s="17" t="s">
        <v>55</v>
      </c>
      <c r="L229" s="17">
        <v>10001013</v>
      </c>
      <c r="M229" s="17" t="s">
        <v>205</v>
      </c>
      <c r="N229" s="17">
        <v>23378822</v>
      </c>
      <c r="O229" s="17" t="s">
        <v>647</v>
      </c>
      <c r="P229" s="17" t="s">
        <v>221</v>
      </c>
      <c r="Q229" s="17" t="s">
        <v>253</v>
      </c>
      <c r="R229" s="17" t="s">
        <v>647</v>
      </c>
      <c r="S229" s="17" t="s">
        <v>147</v>
      </c>
      <c r="T229" s="17" t="s">
        <v>55</v>
      </c>
      <c r="U229" s="17" t="s">
        <v>251</v>
      </c>
      <c r="V229" s="17" t="s">
        <v>646</v>
      </c>
      <c r="W229" s="17" t="s">
        <v>249</v>
      </c>
    </row>
    <row r="230" spans="1:23" x14ac:dyDescent="0.45">
      <c r="A230" s="17" t="s">
        <v>254</v>
      </c>
      <c r="B230" s="22">
        <v>46092</v>
      </c>
      <c r="C230" s="17">
        <v>151399037</v>
      </c>
      <c r="D230" s="26">
        <f>IFERROR(SUMIF(Servicios_Promotores!$B:$B,C230,Servicios_Promotores!$R:$R),0)</f>
        <v>75.000000009999994</v>
      </c>
      <c r="E230" s="26">
        <f>IFERROR(SUMIF(Pago_GERE!$B:$B,C230,Pago_GERE!$R:$R),0)</f>
        <v>75.000000009999994</v>
      </c>
      <c r="F230" s="26">
        <f>IFERROR(SUMIF(Hoja2!$H:$H,C230,Hoja2!$U:$U),0)</f>
        <v>0</v>
      </c>
      <c r="G230" s="17" t="str">
        <f>IFERROR(VLOOKUP(C230,Hoja3!$C:$D,2,FALSE),"")</f>
        <v>ESTRELLA</v>
      </c>
      <c r="H230" s="22">
        <v>46094</v>
      </c>
      <c r="I230" s="17" t="s">
        <v>163</v>
      </c>
      <c r="J230" s="17" t="s">
        <v>151</v>
      </c>
      <c r="K230" s="17" t="s">
        <v>36</v>
      </c>
      <c r="L230" s="17">
        <v>10001013</v>
      </c>
      <c r="M230" s="17" t="s">
        <v>205</v>
      </c>
      <c r="N230" s="17">
        <v>22951252</v>
      </c>
      <c r="O230" s="17" t="s">
        <v>625</v>
      </c>
      <c r="P230" s="17" t="s">
        <v>482</v>
      </c>
      <c r="Q230" s="17" t="s">
        <v>253</v>
      </c>
      <c r="R230" s="17" t="s">
        <v>625</v>
      </c>
      <c r="S230" s="17" t="s">
        <v>147</v>
      </c>
      <c r="T230" s="17" t="s">
        <v>480</v>
      </c>
      <c r="U230" s="17" t="s">
        <v>251</v>
      </c>
      <c r="V230" s="17" t="s">
        <v>624</v>
      </c>
      <c r="W230" s="17" t="s">
        <v>623</v>
      </c>
    </row>
    <row r="231" spans="1:23" x14ac:dyDescent="0.45">
      <c r="A231" s="17" t="s">
        <v>254</v>
      </c>
      <c r="B231" s="22">
        <v>46091</v>
      </c>
      <c r="C231" s="17">
        <v>151395109</v>
      </c>
      <c r="D231" s="26">
        <f>IFERROR(SUMIF(Servicios_Promotores!$B:$B,C231,Servicios_Promotores!$R:$R),0)</f>
        <v>75.000000009999994</v>
      </c>
      <c r="E231" s="26">
        <f>IFERROR(SUMIF(Pago_GERE!$B:$B,C231,Pago_GERE!$R:$R),0)</f>
        <v>75.000000009999994</v>
      </c>
      <c r="F231" s="26">
        <f>IFERROR(SUMIF(Hoja2!$H:$H,C231,Hoja2!$U:$U),0)</f>
        <v>0</v>
      </c>
      <c r="G231" s="17" t="str">
        <f>IFERROR(VLOOKUP(C231,Hoja3!$C:$D,2,FALSE),"")</f>
        <v>ESTRELLA</v>
      </c>
      <c r="H231" s="22">
        <v>46094</v>
      </c>
      <c r="I231" s="17" t="s">
        <v>152</v>
      </c>
      <c r="J231" s="17" t="s">
        <v>151</v>
      </c>
      <c r="K231" s="17" t="s">
        <v>55</v>
      </c>
      <c r="L231" s="17">
        <v>10001013</v>
      </c>
      <c r="M231" s="17" t="s">
        <v>205</v>
      </c>
      <c r="N231" s="17">
        <v>22915385</v>
      </c>
      <c r="O231" s="17" t="s">
        <v>609</v>
      </c>
      <c r="P231" s="17" t="s">
        <v>222</v>
      </c>
      <c r="Q231" s="17" t="s">
        <v>253</v>
      </c>
      <c r="R231" s="17" t="s">
        <v>609</v>
      </c>
      <c r="S231" s="17" t="s">
        <v>147</v>
      </c>
      <c r="T231" s="17" t="s">
        <v>55</v>
      </c>
      <c r="U231" s="17" t="s">
        <v>251</v>
      </c>
      <c r="V231" s="17" t="s">
        <v>608</v>
      </c>
      <c r="W231" s="17" t="s">
        <v>441</v>
      </c>
    </row>
    <row r="232" spans="1:23" x14ac:dyDescent="0.45">
      <c r="A232" s="17" t="s">
        <v>254</v>
      </c>
      <c r="B232" s="22">
        <v>46088</v>
      </c>
      <c r="C232" s="17">
        <v>151392218</v>
      </c>
      <c r="D232" s="26">
        <f>IFERROR(SUMIF(Servicios_Promotores!$B:$B,C232,Servicios_Promotores!$R:$R),0)</f>
        <v>0</v>
      </c>
      <c r="E232" s="26">
        <f>IFERROR(SUMIF(Pago_GERE!$B:$B,C232,Pago_GERE!$R:$R),0)</f>
        <v>0</v>
      </c>
      <c r="F232" s="26">
        <f>IFERROR(SUMIF(Hoja2!$H:$H,C232,Hoja2!$U:$U),0)</f>
        <v>0</v>
      </c>
      <c r="G232" s="17" t="str">
        <f>IFERROR(VLOOKUP(C232,Hoja3!$C:$D,2,FALSE),"")</f>
        <v>ESTRELLA</v>
      </c>
      <c r="H232" s="22">
        <v>46090</v>
      </c>
      <c r="I232" s="17" t="s">
        <v>158</v>
      </c>
      <c r="J232" s="17" t="s">
        <v>151</v>
      </c>
      <c r="K232" s="17" t="s">
        <v>42</v>
      </c>
      <c r="L232" s="17">
        <v>10001013</v>
      </c>
      <c r="M232" s="17" t="s">
        <v>205</v>
      </c>
      <c r="N232" s="17">
        <v>22865069</v>
      </c>
      <c r="O232" s="17" t="s">
        <v>592</v>
      </c>
      <c r="P232" s="17" t="s">
        <v>148</v>
      </c>
      <c r="Q232" s="17" t="s">
        <v>253</v>
      </c>
      <c r="R232" s="17" t="s">
        <v>592</v>
      </c>
      <c r="S232" s="17" t="s">
        <v>155</v>
      </c>
      <c r="T232" s="17" t="s">
        <v>146</v>
      </c>
      <c r="U232" s="17" t="s">
        <v>251</v>
      </c>
      <c r="V232" s="17" t="s">
        <v>591</v>
      </c>
      <c r="W232" s="17" t="s">
        <v>590</v>
      </c>
    </row>
    <row r="233" spans="1:23" x14ac:dyDescent="0.45">
      <c r="A233" s="17" t="s">
        <v>254</v>
      </c>
      <c r="B233" s="22">
        <v>46088</v>
      </c>
      <c r="C233" s="17">
        <v>151391140</v>
      </c>
      <c r="D233" s="26">
        <f>IFERROR(SUMIF(Servicios_Promotores!$B:$B,C233,Servicios_Promotores!$R:$R),0)</f>
        <v>0</v>
      </c>
      <c r="E233" s="26">
        <f>IFERROR(SUMIF(Pago_GERE!$B:$B,C233,Pago_GERE!$R:$R),0)</f>
        <v>0</v>
      </c>
      <c r="F233" s="26">
        <f>IFERROR(SUMIF(Hoja2!$H:$H,C233,Hoja2!$U:$U),0)</f>
        <v>364</v>
      </c>
      <c r="G233" s="17" t="str">
        <f>IFERROR(VLOOKUP(C233,Hoja3!$C:$D,2,FALSE),"")</f>
        <v>ESTRELLA</v>
      </c>
      <c r="H233" s="22">
        <v>46096</v>
      </c>
      <c r="I233" s="17" t="s">
        <v>152</v>
      </c>
      <c r="J233" s="17" t="s">
        <v>165</v>
      </c>
      <c r="K233" s="17" t="s">
        <v>61</v>
      </c>
      <c r="L233" s="17">
        <v>10001013</v>
      </c>
      <c r="M233" s="17" t="s">
        <v>205</v>
      </c>
      <c r="N233" s="17">
        <v>23071397</v>
      </c>
      <c r="O233" s="17" t="s">
        <v>588</v>
      </c>
      <c r="P233" s="17" t="s">
        <v>589</v>
      </c>
      <c r="Q233" s="17" t="s">
        <v>253</v>
      </c>
      <c r="R233" s="17" t="s">
        <v>588</v>
      </c>
      <c r="S233" s="17" t="s">
        <v>147</v>
      </c>
      <c r="T233" s="17" t="s">
        <v>587</v>
      </c>
      <c r="U233" s="17" t="s">
        <v>251</v>
      </c>
      <c r="V233" s="17" t="s">
        <v>586</v>
      </c>
      <c r="W233" s="17" t="s">
        <v>441</v>
      </c>
    </row>
    <row r="234" spans="1:23" x14ac:dyDescent="0.45">
      <c r="A234" s="17" t="s">
        <v>254</v>
      </c>
      <c r="B234" s="22">
        <v>46086</v>
      </c>
      <c r="C234" s="17">
        <v>151388431</v>
      </c>
      <c r="D234" s="26">
        <f>IFERROR(SUMIF(Servicios_Promotores!$B:$B,C234,Servicios_Promotores!$R:$R),0)</f>
        <v>49.999999998</v>
      </c>
      <c r="E234" s="26">
        <f>IFERROR(SUMIF(Pago_GERE!$B:$B,C234,Pago_GERE!$R:$R),0)</f>
        <v>49.999999998</v>
      </c>
      <c r="F234" s="26">
        <f>IFERROR(SUMIF(Hoja2!$H:$H,C234,Hoja2!$U:$U),0)</f>
        <v>0</v>
      </c>
      <c r="G234" s="17" t="str">
        <f>IFERROR(VLOOKUP(C234,Hoja3!$C:$D,2,FALSE),"")</f>
        <v>ESTRELLA</v>
      </c>
      <c r="H234" s="22">
        <v>46088</v>
      </c>
      <c r="I234" s="17" t="s">
        <v>163</v>
      </c>
      <c r="J234" s="17" t="s">
        <v>151</v>
      </c>
      <c r="K234" s="17" t="s">
        <v>42</v>
      </c>
      <c r="L234" s="17">
        <v>10001013</v>
      </c>
      <c r="M234" s="17" t="s">
        <v>205</v>
      </c>
      <c r="N234" s="17">
        <v>22806585</v>
      </c>
      <c r="O234" s="17" t="s">
        <v>571</v>
      </c>
      <c r="P234" s="17" t="s">
        <v>148</v>
      </c>
      <c r="Q234" s="17" t="s">
        <v>253</v>
      </c>
      <c r="R234" s="17" t="s">
        <v>571</v>
      </c>
      <c r="S234" s="17" t="s">
        <v>147</v>
      </c>
      <c r="T234" s="17" t="s">
        <v>146</v>
      </c>
      <c r="U234" s="17" t="s">
        <v>251</v>
      </c>
      <c r="V234" s="17" t="s">
        <v>416</v>
      </c>
      <c r="W234" s="17" t="s">
        <v>415</v>
      </c>
    </row>
    <row r="235" spans="1:23" x14ac:dyDescent="0.45">
      <c r="A235" s="17" t="s">
        <v>254</v>
      </c>
      <c r="B235" s="22">
        <v>46086</v>
      </c>
      <c r="C235" s="17">
        <v>151388573</v>
      </c>
      <c r="D235" s="26">
        <f>IFERROR(SUMIF(Servicios_Promotores!$B:$B,C235,Servicios_Promotores!$R:$R),0)</f>
        <v>49.999999998</v>
      </c>
      <c r="E235" s="26">
        <f>IFERROR(SUMIF(Pago_GERE!$B:$B,C235,Pago_GERE!$R:$R),0)</f>
        <v>49.999999998</v>
      </c>
      <c r="F235" s="26">
        <f>IFERROR(SUMIF(Hoja2!$H:$H,C235,Hoja2!$U:$U),0)</f>
        <v>0</v>
      </c>
      <c r="G235" s="17" t="str">
        <f>IFERROR(VLOOKUP(C235,Hoja3!$C:$D,2,FALSE),"")</f>
        <v>ESTRELLA</v>
      </c>
      <c r="H235" s="22">
        <v>46091</v>
      </c>
      <c r="I235" s="17" t="s">
        <v>152</v>
      </c>
      <c r="J235" s="17" t="s">
        <v>165</v>
      </c>
      <c r="K235" s="17" t="s">
        <v>42</v>
      </c>
      <c r="L235" s="17">
        <v>10001013</v>
      </c>
      <c r="M235" s="17" t="s">
        <v>205</v>
      </c>
      <c r="N235" s="17">
        <v>22923355</v>
      </c>
      <c r="O235" s="17" t="s">
        <v>570</v>
      </c>
      <c r="P235" s="17" t="s">
        <v>148</v>
      </c>
      <c r="Q235" s="17" t="s">
        <v>253</v>
      </c>
      <c r="R235" s="17" t="s">
        <v>570</v>
      </c>
      <c r="S235" s="17" t="s">
        <v>147</v>
      </c>
      <c r="T235" s="17" t="s">
        <v>146</v>
      </c>
      <c r="U235" s="17" t="s">
        <v>251</v>
      </c>
      <c r="V235" s="17" t="s">
        <v>416</v>
      </c>
      <c r="W235" s="17" t="s">
        <v>415</v>
      </c>
    </row>
    <row r="236" spans="1:23" x14ac:dyDescent="0.45">
      <c r="A236" s="17" t="s">
        <v>254</v>
      </c>
      <c r="B236" s="22">
        <v>46086</v>
      </c>
      <c r="C236" s="17">
        <v>151387947</v>
      </c>
      <c r="D236" s="26">
        <f>IFERROR(SUMIF(Servicios_Promotores!$B:$B,C236,Servicios_Promotores!$R:$R),0)</f>
        <v>75.000000009999994</v>
      </c>
      <c r="E236" s="26">
        <f>IFERROR(SUMIF(Pago_GERE!$B:$B,C236,Pago_GERE!$R:$R),0)</f>
        <v>75.000000009999994</v>
      </c>
      <c r="F236" s="26">
        <f>IFERROR(SUMIF(Hoja2!$H:$H,C236,Hoja2!$U:$U),0)</f>
        <v>0</v>
      </c>
      <c r="G236" s="17" t="str">
        <f>IFERROR(VLOOKUP(C236,Hoja3!$C:$D,2,FALSE),"")</f>
        <v>ESTRELLA</v>
      </c>
      <c r="H236" s="22">
        <v>46093</v>
      </c>
      <c r="I236" s="17" t="s">
        <v>152</v>
      </c>
      <c r="J236" s="17" t="s">
        <v>165</v>
      </c>
      <c r="K236" s="17" t="s">
        <v>42</v>
      </c>
      <c r="L236" s="17">
        <v>10001013</v>
      </c>
      <c r="M236" s="17" t="s">
        <v>205</v>
      </c>
      <c r="N236" s="17">
        <v>22794476</v>
      </c>
      <c r="O236" s="17" t="s">
        <v>569</v>
      </c>
      <c r="P236" s="17" t="s">
        <v>192</v>
      </c>
      <c r="Q236" s="17" t="s">
        <v>253</v>
      </c>
      <c r="R236" s="17" t="s">
        <v>569</v>
      </c>
      <c r="S236" s="17" t="s">
        <v>147</v>
      </c>
      <c r="T236" s="17" t="s">
        <v>146</v>
      </c>
      <c r="U236" s="17" t="s">
        <v>251</v>
      </c>
      <c r="V236" s="17" t="s">
        <v>568</v>
      </c>
      <c r="W236" s="17" t="s">
        <v>558</v>
      </c>
    </row>
    <row r="237" spans="1:23" x14ac:dyDescent="0.45">
      <c r="A237" s="17" t="s">
        <v>254</v>
      </c>
      <c r="B237" s="22">
        <v>46083</v>
      </c>
      <c r="C237" s="17">
        <v>151381589</v>
      </c>
      <c r="D237" s="26">
        <f>IFERROR(SUMIF(Servicios_Promotores!$B:$B,C237,Servicios_Promotores!$R:$R),0)</f>
        <v>49.999999998</v>
      </c>
      <c r="E237" s="26">
        <f>IFERROR(SUMIF(Pago_GERE!$B:$B,C237,Pago_GERE!$R:$R),0)</f>
        <v>49.999999998</v>
      </c>
      <c r="F237" s="26">
        <f>IFERROR(SUMIF(Hoja2!$H:$H,C237,Hoja2!$U:$U),0)</f>
        <v>0</v>
      </c>
      <c r="G237" s="17" t="str">
        <f>IFERROR(VLOOKUP(C237,Hoja3!$C:$D,2,FALSE),"")</f>
        <v>ESTRELLA</v>
      </c>
      <c r="H237" s="22">
        <v>46085</v>
      </c>
      <c r="I237" s="17" t="s">
        <v>152</v>
      </c>
      <c r="J237" s="17" t="s">
        <v>151</v>
      </c>
      <c r="K237" s="17" t="s">
        <v>42</v>
      </c>
      <c r="L237" s="17">
        <v>10001013</v>
      </c>
      <c r="M237" s="17" t="s">
        <v>205</v>
      </c>
      <c r="N237" s="17">
        <v>22726751</v>
      </c>
      <c r="O237" s="17" t="s">
        <v>530</v>
      </c>
      <c r="P237" s="17" t="s">
        <v>148</v>
      </c>
      <c r="Q237" s="17" t="s">
        <v>253</v>
      </c>
      <c r="R237" s="17" t="s">
        <v>530</v>
      </c>
      <c r="S237" s="17" t="s">
        <v>147</v>
      </c>
      <c r="T237" s="17" t="s">
        <v>146</v>
      </c>
      <c r="U237" s="17" t="s">
        <v>251</v>
      </c>
      <c r="V237" s="17" t="s">
        <v>529</v>
      </c>
      <c r="W237" s="17" t="s">
        <v>528</v>
      </c>
    </row>
    <row r="238" spans="1:23" x14ac:dyDescent="0.45">
      <c r="A238" s="17" t="s">
        <v>254</v>
      </c>
      <c r="B238" s="22">
        <v>46082</v>
      </c>
      <c r="C238" s="17">
        <v>151379619</v>
      </c>
      <c r="D238" s="26">
        <f>IFERROR(SUMIF(Servicios_Promotores!$B:$B,C238,Servicios_Promotores!$R:$R),0)</f>
        <v>49.999999998</v>
      </c>
      <c r="E238" s="26">
        <f>IFERROR(SUMIF(Pago_GERE!$B:$B,C238,Pago_GERE!$R:$R),0)</f>
        <v>49.999999998</v>
      </c>
      <c r="F238" s="26">
        <f>IFERROR(SUMIF(Hoja2!$H:$H,C238,Hoja2!$U:$U),0)</f>
        <v>0</v>
      </c>
      <c r="G238" s="17" t="str">
        <f>IFERROR(VLOOKUP(C238,Hoja3!$C:$D,2,FALSE),"")</f>
        <v>ESTRELLA</v>
      </c>
      <c r="H238" s="22">
        <v>46088</v>
      </c>
      <c r="I238" s="17" t="s">
        <v>163</v>
      </c>
      <c r="J238" s="17" t="s">
        <v>151</v>
      </c>
      <c r="K238" s="17" t="s">
        <v>52</v>
      </c>
      <c r="L238" s="17">
        <v>10001013</v>
      </c>
      <c r="M238" s="17" t="s">
        <v>205</v>
      </c>
      <c r="N238" s="17">
        <v>22706098</v>
      </c>
      <c r="O238" s="17" t="s">
        <v>521</v>
      </c>
      <c r="P238" s="17" t="s">
        <v>522</v>
      </c>
      <c r="Q238" s="17" t="s">
        <v>253</v>
      </c>
      <c r="R238" s="17" t="s">
        <v>521</v>
      </c>
      <c r="S238" s="17" t="s">
        <v>147</v>
      </c>
      <c r="T238" s="17" t="s">
        <v>520</v>
      </c>
      <c r="U238" s="17" t="s">
        <v>251</v>
      </c>
      <c r="V238" s="17" t="s">
        <v>210</v>
      </c>
      <c r="W238" s="17"/>
    </row>
    <row r="239" spans="1:23" x14ac:dyDescent="0.45">
      <c r="A239" s="17"/>
      <c r="B239" s="22">
        <v>46099</v>
      </c>
      <c r="C239" s="17">
        <v>151409803</v>
      </c>
      <c r="D239" s="26">
        <f>IFERROR(SUMIF(Servicios_Promotores!$B:$B,C239,Servicios_Promotores!$R:$R),0)</f>
        <v>0</v>
      </c>
      <c r="E239" s="26">
        <f>IFERROR(SUMIF(Pago_GERE!$B:$B,C239,Pago_GERE!$R:$R),0)</f>
        <v>0</v>
      </c>
      <c r="F239" s="26">
        <f>IFERROR(SUMIF(Hoja2!$H:$H,C239,Hoja2!$U:$U),0)</f>
        <v>0</v>
      </c>
      <c r="G239" s="17" t="str">
        <f>IFERROR(VLOOKUP(C239,Hoja3!$C:$D,2,FALSE),"")</f>
        <v>ESTRELLA</v>
      </c>
      <c r="H239" s="17"/>
      <c r="I239" s="17" t="s">
        <v>163</v>
      </c>
      <c r="J239" s="17" t="s">
        <v>151</v>
      </c>
      <c r="K239" s="17" t="s">
        <v>39</v>
      </c>
      <c r="L239" s="17">
        <v>10001013</v>
      </c>
      <c r="M239" s="17" t="s">
        <v>205</v>
      </c>
      <c r="N239" s="17">
        <v>151409803</v>
      </c>
      <c r="O239" s="17"/>
      <c r="P239" s="17" t="s">
        <v>170</v>
      </c>
      <c r="Q239" s="17"/>
      <c r="R239" s="17"/>
      <c r="S239" s="17" t="s">
        <v>147</v>
      </c>
      <c r="T239" s="17" t="s">
        <v>169</v>
      </c>
      <c r="U239" s="17" t="s">
        <v>182</v>
      </c>
      <c r="V239" s="17"/>
      <c r="W239" s="17"/>
    </row>
    <row r="240" spans="1:23" x14ac:dyDescent="0.45">
      <c r="A240" s="17" t="s">
        <v>1065</v>
      </c>
      <c r="B240" s="22">
        <v>46050</v>
      </c>
      <c r="C240" s="17">
        <v>151322683</v>
      </c>
      <c r="D240" s="26">
        <f>IFERROR(SUMIF(Servicios_Promotores!$B:$B,C240,Servicios_Promotores!$R:$R),0)</f>
        <v>0</v>
      </c>
      <c r="E240" s="26">
        <f>IFERROR(SUMIF(Pago_GERE!$B:$B,C240,Pago_GERE!$R:$R),0)</f>
        <v>0</v>
      </c>
      <c r="F240" s="26">
        <f>IFERROR(SUMIF(Hoja2!$H:$H,C240,Hoja2!$U:$U),0)</f>
        <v>0</v>
      </c>
      <c r="G240" s="17" t="str">
        <f>IFERROR(VLOOKUP(C240,Hoja3!$C:$D,2,FALSE),"")</f>
        <v xml:space="preserve">FRANCISCO MENDOZA </v>
      </c>
      <c r="H240" s="17"/>
      <c r="I240" s="17" t="s">
        <v>163</v>
      </c>
      <c r="J240" s="17" t="s">
        <v>151</v>
      </c>
      <c r="K240" s="17" t="s">
        <v>39</v>
      </c>
      <c r="L240" s="17">
        <v>10001013</v>
      </c>
      <c r="M240" s="17" t="s">
        <v>239</v>
      </c>
      <c r="N240" s="17">
        <v>22027293</v>
      </c>
      <c r="O240" s="17" t="s">
        <v>1066</v>
      </c>
      <c r="P240" s="17" t="s">
        <v>170</v>
      </c>
      <c r="Q240" s="17" t="s">
        <v>1064</v>
      </c>
      <c r="R240" s="17" t="s">
        <v>1066</v>
      </c>
      <c r="S240" s="17" t="s">
        <v>147</v>
      </c>
      <c r="T240" s="17" t="s">
        <v>169</v>
      </c>
      <c r="U240" s="17" t="s">
        <v>251</v>
      </c>
      <c r="V240" s="17" t="s">
        <v>210</v>
      </c>
      <c r="W240" s="17"/>
    </row>
    <row r="241" spans="1:23" x14ac:dyDescent="0.45">
      <c r="A241" s="17" t="s">
        <v>1065</v>
      </c>
      <c r="B241" s="22">
        <v>46049</v>
      </c>
      <c r="C241" s="17">
        <v>151319843</v>
      </c>
      <c r="D241" s="26">
        <f>IFERROR(SUMIF(Servicios_Promotores!$B:$B,C241,Servicios_Promotores!$R:$R),0)</f>
        <v>0</v>
      </c>
      <c r="E241" s="26">
        <f>IFERROR(SUMIF(Pago_GERE!$B:$B,C241,Pago_GERE!$R:$R),0)</f>
        <v>0</v>
      </c>
      <c r="F241" s="26">
        <f>IFERROR(SUMIF(Hoja2!$H:$H,C241,Hoja2!$U:$U),0)</f>
        <v>0</v>
      </c>
      <c r="G241" s="17" t="str">
        <f>IFERROR(VLOOKUP(C241,Hoja3!$C:$D,2,FALSE),"")</f>
        <v xml:space="preserve">FRANCISCO MENDOZA </v>
      </c>
      <c r="H241" s="17"/>
      <c r="I241" s="17" t="s">
        <v>194</v>
      </c>
      <c r="J241" s="17" t="s">
        <v>151</v>
      </c>
      <c r="K241" s="17" t="s">
        <v>42</v>
      </c>
      <c r="L241" s="17">
        <v>10001013</v>
      </c>
      <c r="M241" s="17" t="s">
        <v>239</v>
      </c>
      <c r="N241" s="17">
        <v>21993948</v>
      </c>
      <c r="O241" s="17" t="s">
        <v>1066</v>
      </c>
      <c r="P241" s="17" t="s">
        <v>148</v>
      </c>
      <c r="Q241" s="17" t="s">
        <v>1064</v>
      </c>
      <c r="R241" s="17" t="s">
        <v>1066</v>
      </c>
      <c r="S241" s="17" t="s">
        <v>147</v>
      </c>
      <c r="T241" s="17" t="s">
        <v>146</v>
      </c>
      <c r="U241" s="17" t="s">
        <v>251</v>
      </c>
      <c r="V241" s="17" t="s">
        <v>210</v>
      </c>
      <c r="W241" s="17"/>
    </row>
    <row r="242" spans="1:23" x14ac:dyDescent="0.45">
      <c r="A242" s="17" t="s">
        <v>254</v>
      </c>
      <c r="B242" s="22">
        <v>46048</v>
      </c>
      <c r="C242" s="17">
        <v>151317148</v>
      </c>
      <c r="D242" s="26">
        <f>IFERROR(SUMIF(Servicios_Promotores!$B:$B,C242,Servicios_Promotores!$R:$R),0)</f>
        <v>0</v>
      </c>
      <c r="E242" s="26">
        <f>IFERROR(SUMIF(Pago_GERE!$B:$B,C242,Pago_GERE!$R:$R),0)</f>
        <v>0</v>
      </c>
      <c r="F242" s="26">
        <f>IFERROR(SUMIF(Hoja2!$H:$H,C242,Hoja2!$U:$U),0)</f>
        <v>0</v>
      </c>
      <c r="G242" s="17" t="str">
        <f>IFERROR(VLOOKUP(C242,Hoja3!$C:$D,2,FALSE),"")</f>
        <v xml:space="preserve">FRANCISCO MENDOZA </v>
      </c>
      <c r="H242" s="22">
        <v>46050</v>
      </c>
      <c r="I242" s="17" t="s">
        <v>158</v>
      </c>
      <c r="J242" s="17" t="s">
        <v>151</v>
      </c>
      <c r="K242" s="17" t="s">
        <v>55</v>
      </c>
      <c r="L242" s="17">
        <v>10001013</v>
      </c>
      <c r="M242" s="17" t="s">
        <v>239</v>
      </c>
      <c r="N242" s="17">
        <v>21977857</v>
      </c>
      <c r="O242" s="17" t="s">
        <v>1034</v>
      </c>
      <c r="P242" s="17" t="s">
        <v>221</v>
      </c>
      <c r="Q242" s="17" t="s">
        <v>253</v>
      </c>
      <c r="R242" s="17" t="s">
        <v>1034</v>
      </c>
      <c r="S242" s="17" t="s">
        <v>155</v>
      </c>
      <c r="T242" s="17" t="s">
        <v>55</v>
      </c>
      <c r="U242" s="17" t="s">
        <v>251</v>
      </c>
      <c r="V242" s="17" t="s">
        <v>719</v>
      </c>
      <c r="W242" s="17" t="s">
        <v>249</v>
      </c>
    </row>
    <row r="243" spans="1:23" x14ac:dyDescent="0.45">
      <c r="A243" s="17" t="s">
        <v>254</v>
      </c>
      <c r="B243" s="22">
        <v>46049</v>
      </c>
      <c r="C243" s="17">
        <v>151320152</v>
      </c>
      <c r="D243" s="26">
        <f>IFERROR(SUMIF(Servicios_Promotores!$B:$B,C243,Servicios_Promotores!$R:$R),0)</f>
        <v>0</v>
      </c>
      <c r="E243" s="26">
        <f>IFERROR(SUMIF(Pago_GERE!$B:$B,C243,Pago_GERE!$R:$R),0)</f>
        <v>0</v>
      </c>
      <c r="F243" s="26">
        <f>IFERROR(SUMIF(Hoja2!$H:$H,C243,Hoja2!$U:$U),0)</f>
        <v>0</v>
      </c>
      <c r="G243" s="17" t="str">
        <f>IFERROR(VLOOKUP(C243,Hoja3!$C:$D,2,FALSE),"")</f>
        <v xml:space="preserve">FRANCISCO MENDOZA </v>
      </c>
      <c r="H243" s="22">
        <v>46051</v>
      </c>
      <c r="I243" s="17" t="s">
        <v>152</v>
      </c>
      <c r="J243" s="17" t="s">
        <v>165</v>
      </c>
      <c r="K243" s="17" t="s">
        <v>42</v>
      </c>
      <c r="L243" s="17">
        <v>10001013</v>
      </c>
      <c r="M243" s="17" t="s">
        <v>207</v>
      </c>
      <c r="N243" s="17">
        <v>21992683</v>
      </c>
      <c r="O243" s="17" t="s">
        <v>1044</v>
      </c>
      <c r="P243" s="17" t="s">
        <v>148</v>
      </c>
      <c r="Q243" s="17" t="s">
        <v>253</v>
      </c>
      <c r="R243" s="17" t="s">
        <v>1044</v>
      </c>
      <c r="S243" s="17" t="s">
        <v>147</v>
      </c>
      <c r="T243" s="17" t="s">
        <v>146</v>
      </c>
      <c r="U243" s="17" t="s">
        <v>251</v>
      </c>
      <c r="V243" s="17" t="s">
        <v>1043</v>
      </c>
      <c r="W243" s="17" t="s">
        <v>1042</v>
      </c>
    </row>
    <row r="244" spans="1:23" x14ac:dyDescent="0.45">
      <c r="A244" s="17" t="s">
        <v>254</v>
      </c>
      <c r="B244" s="22">
        <v>46054</v>
      </c>
      <c r="C244" s="17">
        <v>151328588</v>
      </c>
      <c r="D244" s="26">
        <f>IFERROR(SUMIF(Servicios_Promotores!$B:$B,C244,Servicios_Promotores!$R:$R),0)</f>
        <v>0</v>
      </c>
      <c r="E244" s="26">
        <f>IFERROR(SUMIF(Pago_GERE!$B:$B,C244,Pago_GERE!$R:$R),0)</f>
        <v>0</v>
      </c>
      <c r="F244" s="26">
        <f>IFERROR(SUMIF(Hoja2!$H:$H,C244,Hoja2!$U:$U),0)</f>
        <v>0</v>
      </c>
      <c r="G244" s="17" t="str">
        <f>IFERROR(VLOOKUP(C244,Hoja3!$C:$D,2,FALSE),"")</f>
        <v xml:space="preserve">FRANCISCO MENDOZA </v>
      </c>
      <c r="H244" s="22">
        <v>46056</v>
      </c>
      <c r="I244" s="17" t="s">
        <v>158</v>
      </c>
      <c r="J244" s="17" t="s">
        <v>151</v>
      </c>
      <c r="K244" s="17" t="s">
        <v>31</v>
      </c>
      <c r="L244" s="17">
        <v>10001013</v>
      </c>
      <c r="M244" s="17" t="s">
        <v>207</v>
      </c>
      <c r="N244" s="17">
        <v>22081059</v>
      </c>
      <c r="O244" s="17" t="s">
        <v>688</v>
      </c>
      <c r="P244" s="17" t="s">
        <v>179</v>
      </c>
      <c r="Q244" s="17" t="s">
        <v>253</v>
      </c>
      <c r="R244" s="17" t="s">
        <v>688</v>
      </c>
      <c r="S244" s="17" t="s">
        <v>155</v>
      </c>
      <c r="T244" s="17" t="s">
        <v>178</v>
      </c>
      <c r="U244" s="17" t="s">
        <v>251</v>
      </c>
      <c r="V244" s="17" t="s">
        <v>687</v>
      </c>
      <c r="W244" s="17" t="s">
        <v>686</v>
      </c>
    </row>
    <row r="245" spans="1:23" x14ac:dyDescent="0.45">
      <c r="A245" s="17" t="s">
        <v>254</v>
      </c>
      <c r="B245" s="22">
        <v>46108</v>
      </c>
      <c r="C245" s="17">
        <v>151428281</v>
      </c>
      <c r="D245" s="26">
        <f>IFERROR(SUMIF(Servicios_Promotores!$B:$B,C245,Servicios_Promotores!$R:$R),0)</f>
        <v>262.99999998999999</v>
      </c>
      <c r="E245" s="26">
        <f>IFERROR(SUMIF(Pago_GERE!$B:$B,C245,Pago_GERE!$R:$R),0)</f>
        <v>187.00000001799998</v>
      </c>
      <c r="F245" s="26">
        <f>IFERROR(SUMIF(Hoja2!$H:$H,C245,Hoja2!$U:$U),0)</f>
        <v>0</v>
      </c>
      <c r="G245" s="17" t="str">
        <f>IFERROR(VLOOKUP(C245,Hoja3!$C:$D,2,FALSE),"")</f>
        <v xml:space="preserve">FRANCISCO MENDOZA </v>
      </c>
      <c r="H245" s="22">
        <v>46112</v>
      </c>
      <c r="I245" s="17" t="s">
        <v>152</v>
      </c>
      <c r="J245" s="17" t="s">
        <v>165</v>
      </c>
      <c r="K245" s="17" t="s">
        <v>39</v>
      </c>
      <c r="L245" s="17">
        <v>10001013</v>
      </c>
      <c r="M245" s="17" t="s">
        <v>207</v>
      </c>
      <c r="N245" s="17">
        <v>23900873</v>
      </c>
      <c r="O245" s="17" t="s">
        <v>678</v>
      </c>
      <c r="P245" s="17" t="s">
        <v>170</v>
      </c>
      <c r="Q245" s="17" t="s">
        <v>253</v>
      </c>
      <c r="R245" s="17" t="s">
        <v>678</v>
      </c>
      <c r="S245" s="17" t="s">
        <v>147</v>
      </c>
      <c r="T245" s="17" t="s">
        <v>169</v>
      </c>
      <c r="U245" s="17" t="s">
        <v>251</v>
      </c>
      <c r="V245" s="17" t="s">
        <v>677</v>
      </c>
      <c r="W245" s="17" t="s">
        <v>676</v>
      </c>
    </row>
    <row r="246" spans="1:23" x14ac:dyDescent="0.45">
      <c r="A246" s="17" t="s">
        <v>254</v>
      </c>
      <c r="B246" s="22">
        <v>46108</v>
      </c>
      <c r="C246" s="17">
        <v>151428315</v>
      </c>
      <c r="D246" s="26">
        <f>IFERROR(SUMIF(Servicios_Promotores!$B:$B,C246,Servicios_Promotores!$R:$R),0)</f>
        <v>334.66500000050002</v>
      </c>
      <c r="E246" s="26">
        <f>IFERROR(SUMIF(Pago_GERE!$B:$B,C246,Pago_GERE!$R:$R),0)</f>
        <v>258.66500002849995</v>
      </c>
      <c r="F246" s="26">
        <f>IFERROR(SUMIF(Hoja2!$H:$H,C246,Hoja2!$U:$U),0)</f>
        <v>0</v>
      </c>
      <c r="G246" s="17" t="str">
        <f>IFERROR(VLOOKUP(C246,Hoja3!$C:$D,2,FALSE),"")</f>
        <v xml:space="preserve">FRANCISCO MENDOZA </v>
      </c>
      <c r="H246" s="22">
        <v>46111</v>
      </c>
      <c r="I246" s="17" t="s">
        <v>152</v>
      </c>
      <c r="J246" s="17" t="s">
        <v>165</v>
      </c>
      <c r="K246" s="17" t="s">
        <v>42</v>
      </c>
      <c r="L246" s="17">
        <v>10001013</v>
      </c>
      <c r="M246" s="17" t="s">
        <v>207</v>
      </c>
      <c r="N246" s="17">
        <v>23871005</v>
      </c>
      <c r="O246" s="17" t="s">
        <v>675</v>
      </c>
      <c r="P246" s="17" t="s">
        <v>192</v>
      </c>
      <c r="Q246" s="17" t="s">
        <v>253</v>
      </c>
      <c r="R246" s="17" t="s">
        <v>675</v>
      </c>
      <c r="S246" s="17" t="s">
        <v>147</v>
      </c>
      <c r="T246" s="17" t="s">
        <v>146</v>
      </c>
      <c r="U246" s="17" t="s">
        <v>251</v>
      </c>
      <c r="V246" s="17" t="s">
        <v>674</v>
      </c>
      <c r="W246" s="17" t="s">
        <v>673</v>
      </c>
    </row>
    <row r="247" spans="1:23" x14ac:dyDescent="0.45">
      <c r="A247" s="17" t="s">
        <v>254</v>
      </c>
      <c r="B247" s="22">
        <v>46108</v>
      </c>
      <c r="C247" s="17">
        <v>151428390</v>
      </c>
      <c r="D247" s="26">
        <f>IFERROR(SUMIF(Servicios_Promotores!$B:$B,C247,Servicios_Promotores!$R:$R),0)</f>
        <v>262.99999998999999</v>
      </c>
      <c r="E247" s="26">
        <f>IFERROR(SUMIF(Pago_GERE!$B:$B,C247,Pago_GERE!$R:$R),0)</f>
        <v>187.00000001799998</v>
      </c>
      <c r="F247" s="26">
        <f>IFERROR(SUMIF(Hoja2!$H:$H,C247,Hoja2!$U:$U),0)</f>
        <v>0</v>
      </c>
      <c r="G247" s="17" t="str">
        <f>IFERROR(VLOOKUP(C247,Hoja3!$C:$D,2,FALSE),"")</f>
        <v xml:space="preserve">FRANCISCO MENDOZA </v>
      </c>
      <c r="H247" s="22">
        <v>46111</v>
      </c>
      <c r="I247" s="17" t="s">
        <v>152</v>
      </c>
      <c r="J247" s="17" t="s">
        <v>151</v>
      </c>
      <c r="K247" s="17" t="s">
        <v>39</v>
      </c>
      <c r="L247" s="17">
        <v>10001013</v>
      </c>
      <c r="M247" s="17" t="s">
        <v>207</v>
      </c>
      <c r="N247" s="17">
        <v>23901523</v>
      </c>
      <c r="O247" s="17" t="s">
        <v>667</v>
      </c>
      <c r="P247" s="17" t="s">
        <v>170</v>
      </c>
      <c r="Q247" s="17" t="s">
        <v>253</v>
      </c>
      <c r="R247" s="17" t="s">
        <v>667</v>
      </c>
      <c r="S247" s="17" t="s">
        <v>147</v>
      </c>
      <c r="T247" s="17" t="s">
        <v>169</v>
      </c>
      <c r="U247" s="17" t="s">
        <v>251</v>
      </c>
      <c r="V247" s="17" t="s">
        <v>666</v>
      </c>
      <c r="W247" s="17" t="s">
        <v>665</v>
      </c>
    </row>
    <row r="248" spans="1:23" x14ac:dyDescent="0.45">
      <c r="A248" s="17" t="s">
        <v>254</v>
      </c>
      <c r="B248" s="22">
        <v>46088</v>
      </c>
      <c r="C248" s="17">
        <v>151392070</v>
      </c>
      <c r="D248" s="26">
        <f>IFERROR(SUMIF(Servicios_Promotores!$B:$B,C248,Servicios_Promotores!$R:$R),0)</f>
        <v>49.999999998</v>
      </c>
      <c r="E248" s="26">
        <f>IFERROR(SUMIF(Pago_GERE!$B:$B,C248,Pago_GERE!$R:$R),0)</f>
        <v>49.999999998</v>
      </c>
      <c r="F248" s="26">
        <f>IFERROR(SUMIF(Hoja2!$H:$H,C248,Hoja2!$U:$U),0)</f>
        <v>0</v>
      </c>
      <c r="G248" s="17" t="str">
        <f>IFERROR(VLOOKUP(C248,Hoja3!$C:$D,2,FALSE),"")</f>
        <v xml:space="preserve">FRANCISCO MENDOZA </v>
      </c>
      <c r="H248" s="22">
        <v>46090</v>
      </c>
      <c r="I248" s="17" t="s">
        <v>152</v>
      </c>
      <c r="J248" s="17" t="s">
        <v>151</v>
      </c>
      <c r="K248" s="17" t="s">
        <v>42</v>
      </c>
      <c r="L248" s="17">
        <v>10001013</v>
      </c>
      <c r="M248" s="17" t="s">
        <v>207</v>
      </c>
      <c r="N248" s="17">
        <v>22865243</v>
      </c>
      <c r="O248" s="17" t="s">
        <v>585</v>
      </c>
      <c r="P248" s="17" t="s">
        <v>148</v>
      </c>
      <c r="Q248" s="17" t="s">
        <v>253</v>
      </c>
      <c r="R248" s="17" t="s">
        <v>585</v>
      </c>
      <c r="S248" s="17" t="s">
        <v>147</v>
      </c>
      <c r="T248" s="17" t="s">
        <v>146</v>
      </c>
      <c r="U248" s="17" t="s">
        <v>251</v>
      </c>
      <c r="V248" s="17" t="s">
        <v>344</v>
      </c>
      <c r="W248" s="17" t="s">
        <v>341</v>
      </c>
    </row>
    <row r="249" spans="1:23" x14ac:dyDescent="0.45">
      <c r="A249" s="17" t="s">
        <v>254</v>
      </c>
      <c r="B249" s="22">
        <v>46085</v>
      </c>
      <c r="C249" s="17">
        <v>151386732</v>
      </c>
      <c r="D249" s="26">
        <f>IFERROR(SUMIF(Servicios_Promotores!$B:$B,C249,Servicios_Promotores!$R:$R),0)</f>
        <v>0</v>
      </c>
      <c r="E249" s="26">
        <f>IFERROR(SUMIF(Pago_GERE!$B:$B,C249,Pago_GERE!$R:$R),0)</f>
        <v>0</v>
      </c>
      <c r="F249" s="26">
        <f>IFERROR(SUMIF(Hoja2!$H:$H,C249,Hoja2!$U:$U),0)</f>
        <v>1298</v>
      </c>
      <c r="G249" s="17" t="str">
        <f>IFERROR(VLOOKUP(C249,Hoja3!$C:$D,2,FALSE),"")</f>
        <v xml:space="preserve">FRANCISCO MENDOZA </v>
      </c>
      <c r="H249" s="22">
        <v>46087</v>
      </c>
      <c r="I249" s="17" t="s">
        <v>158</v>
      </c>
      <c r="J249" s="17" t="s">
        <v>151</v>
      </c>
      <c r="K249" s="17" t="s">
        <v>42</v>
      </c>
      <c r="L249" s="17">
        <v>10001013</v>
      </c>
      <c r="M249" s="17" t="s">
        <v>207</v>
      </c>
      <c r="N249" s="17">
        <v>22783613</v>
      </c>
      <c r="O249" s="17" t="s">
        <v>560</v>
      </c>
      <c r="P249" s="17" t="s">
        <v>192</v>
      </c>
      <c r="Q249" s="17" t="s">
        <v>253</v>
      </c>
      <c r="R249" s="17" t="s">
        <v>560</v>
      </c>
      <c r="S249" s="17" t="s">
        <v>155</v>
      </c>
      <c r="T249" s="17" t="s">
        <v>146</v>
      </c>
      <c r="U249" s="17" t="s">
        <v>251</v>
      </c>
      <c r="V249" s="17" t="s">
        <v>559</v>
      </c>
      <c r="W249" s="17" t="s">
        <v>558</v>
      </c>
    </row>
    <row r="250" spans="1:23" x14ac:dyDescent="0.45">
      <c r="A250" s="17" t="s">
        <v>1065</v>
      </c>
      <c r="B250" s="22">
        <v>46049</v>
      </c>
      <c r="C250" s="17">
        <v>151319995</v>
      </c>
      <c r="D250" s="26">
        <f>IFERROR(SUMIF(Servicios_Promotores!$B:$B,C250,Servicios_Promotores!$R:$R),0)</f>
        <v>0</v>
      </c>
      <c r="E250" s="26">
        <f>IFERROR(SUMIF(Pago_GERE!$B:$B,C250,Pago_GERE!$R:$R),0)</f>
        <v>0</v>
      </c>
      <c r="F250" s="26">
        <f>IFERROR(SUMIF(Hoja2!$H:$H,C250,Hoja2!$U:$U),0)</f>
        <v>0</v>
      </c>
      <c r="G250" s="17" t="str">
        <f>IFERROR(VLOOKUP(C250,Hoja3!$C:$D,2,FALSE),"")</f>
        <v xml:space="preserve">FRANCISCO MENDOZA </v>
      </c>
      <c r="H250" s="17"/>
      <c r="I250" s="17" t="s">
        <v>158</v>
      </c>
      <c r="J250" s="17" t="s">
        <v>151</v>
      </c>
      <c r="K250" s="17" t="s">
        <v>42</v>
      </c>
      <c r="L250" s="17">
        <v>10000064</v>
      </c>
      <c r="M250" s="17" t="s">
        <v>181</v>
      </c>
      <c r="N250" s="17">
        <v>21994113</v>
      </c>
      <c r="O250" s="17" t="s">
        <v>1066</v>
      </c>
      <c r="P250" s="17" t="s">
        <v>148</v>
      </c>
      <c r="Q250" s="17" t="s">
        <v>1064</v>
      </c>
      <c r="R250" s="17" t="s">
        <v>1066</v>
      </c>
      <c r="S250" s="17" t="s">
        <v>155</v>
      </c>
      <c r="T250" s="17" t="s">
        <v>146</v>
      </c>
      <c r="U250" s="17" t="s">
        <v>251</v>
      </c>
      <c r="V250" s="17" t="s">
        <v>210</v>
      </c>
      <c r="W250" s="17"/>
    </row>
    <row r="251" spans="1:23" x14ac:dyDescent="0.45">
      <c r="A251" s="17" t="s">
        <v>254</v>
      </c>
      <c r="B251" s="22">
        <v>46049</v>
      </c>
      <c r="C251" s="17">
        <v>151320111</v>
      </c>
      <c r="D251" s="26">
        <f>IFERROR(SUMIF(Servicios_Promotores!$B:$B,C251,Servicios_Promotores!$R:$R),0)</f>
        <v>0</v>
      </c>
      <c r="E251" s="26">
        <f>IFERROR(SUMIF(Pago_GERE!$B:$B,C251,Pago_GERE!$R:$R),0)</f>
        <v>0</v>
      </c>
      <c r="F251" s="26">
        <f>IFERROR(SUMIF(Hoja2!$H:$H,C251,Hoja2!$U:$U),0)</f>
        <v>0</v>
      </c>
      <c r="G251" s="17" t="str">
        <f>IFERROR(VLOOKUP(C251,Hoja3!$C:$D,2,FALSE),"")</f>
        <v xml:space="preserve">FRANCISCO MENDOZA </v>
      </c>
      <c r="H251" s="22">
        <v>46052</v>
      </c>
      <c r="I251" s="17" t="s">
        <v>158</v>
      </c>
      <c r="J251" s="17" t="s">
        <v>151</v>
      </c>
      <c r="K251" s="17" t="s">
        <v>42</v>
      </c>
      <c r="L251" s="17">
        <v>10000064</v>
      </c>
      <c r="M251" s="17" t="s">
        <v>181</v>
      </c>
      <c r="N251" s="17">
        <v>21994332</v>
      </c>
      <c r="O251" s="17" t="s">
        <v>1039</v>
      </c>
      <c r="P251" s="17" t="s">
        <v>148</v>
      </c>
      <c r="Q251" s="17" t="s">
        <v>253</v>
      </c>
      <c r="R251" s="17" t="s">
        <v>1039</v>
      </c>
      <c r="S251" s="17" t="s">
        <v>155</v>
      </c>
      <c r="T251" s="17" t="s">
        <v>146</v>
      </c>
      <c r="U251" s="17" t="s">
        <v>251</v>
      </c>
      <c r="V251" s="17" t="s">
        <v>781</v>
      </c>
      <c r="W251" s="17" t="s">
        <v>780</v>
      </c>
    </row>
    <row r="252" spans="1:23" x14ac:dyDescent="0.45">
      <c r="A252" s="17" t="s">
        <v>254</v>
      </c>
      <c r="B252" s="22">
        <v>46084</v>
      </c>
      <c r="C252" s="17">
        <v>151384434</v>
      </c>
      <c r="D252" s="26">
        <f>IFERROR(SUMIF(Servicios_Promotores!$B:$B,C252,Servicios_Promotores!$R:$R),0)</f>
        <v>49.999999998</v>
      </c>
      <c r="E252" s="26">
        <f>IFERROR(SUMIF(Pago_GERE!$B:$B,C252,Pago_GERE!$R:$R),0)</f>
        <v>49.999999998</v>
      </c>
      <c r="F252" s="26">
        <f>IFERROR(SUMIF(Hoja2!$H:$H,C252,Hoja2!$U:$U),0)</f>
        <v>0</v>
      </c>
      <c r="G252" s="17" t="str">
        <f>IFERROR(VLOOKUP(C252,Hoja3!$C:$D,2,FALSE),"")</f>
        <v xml:space="preserve">FRANCISCO MENDOZA </v>
      </c>
      <c r="H252" s="22">
        <v>46085</v>
      </c>
      <c r="I252" s="17" t="s">
        <v>551</v>
      </c>
      <c r="J252" s="17" t="s">
        <v>151</v>
      </c>
      <c r="K252" s="17" t="s">
        <v>42</v>
      </c>
      <c r="L252" s="17">
        <v>10000064</v>
      </c>
      <c r="M252" s="17" t="s">
        <v>181</v>
      </c>
      <c r="N252" s="17">
        <v>22759030</v>
      </c>
      <c r="O252" s="17" t="s">
        <v>550</v>
      </c>
      <c r="P252" s="17" t="s">
        <v>148</v>
      </c>
      <c r="Q252" s="17" t="s">
        <v>253</v>
      </c>
      <c r="R252" s="17" t="s">
        <v>550</v>
      </c>
      <c r="S252" s="17" t="s">
        <v>147</v>
      </c>
      <c r="T252" s="17" t="s">
        <v>146</v>
      </c>
      <c r="U252" s="17" t="s">
        <v>251</v>
      </c>
      <c r="V252" s="17" t="s">
        <v>342</v>
      </c>
      <c r="W252" s="17" t="s">
        <v>341</v>
      </c>
    </row>
    <row r="253" spans="1:23" x14ac:dyDescent="0.45">
      <c r="A253" s="17"/>
      <c r="B253" s="22">
        <v>46049</v>
      </c>
      <c r="C253" s="17">
        <v>151320061</v>
      </c>
      <c r="D253" s="26">
        <f>IFERROR(SUMIF(Servicios_Promotores!$B:$B,C253,Servicios_Promotores!$R:$R),0)</f>
        <v>0</v>
      </c>
      <c r="E253" s="26">
        <f>IFERROR(SUMIF(Pago_GERE!$B:$B,C253,Pago_GERE!$R:$R),0)</f>
        <v>0</v>
      </c>
      <c r="F253" s="26">
        <f>IFERROR(SUMIF(Hoja2!$H:$H,C253,Hoja2!$U:$U),0)</f>
        <v>0</v>
      </c>
      <c r="G253" s="17" t="str">
        <f>IFERROR(VLOOKUP(C253,Hoja3!$C:$D,2,FALSE),"")</f>
        <v xml:space="preserve">FRANCISCO MENDOZA </v>
      </c>
      <c r="H253" s="17"/>
      <c r="I253" s="17" t="s">
        <v>152</v>
      </c>
      <c r="J253" s="17" t="s">
        <v>165</v>
      </c>
      <c r="K253" s="17" t="s">
        <v>39</v>
      </c>
      <c r="L253" s="17">
        <v>10000064</v>
      </c>
      <c r="M253" s="17" t="s">
        <v>181</v>
      </c>
      <c r="N253" s="17">
        <v>151320061</v>
      </c>
      <c r="O253" s="17" t="s">
        <v>247</v>
      </c>
      <c r="P253" s="17" t="s">
        <v>170</v>
      </c>
      <c r="Q253" s="17"/>
      <c r="R253" s="17"/>
      <c r="S253" s="17" t="s">
        <v>147</v>
      </c>
      <c r="T253" s="17" t="s">
        <v>169</v>
      </c>
      <c r="U253" s="17" t="s">
        <v>182</v>
      </c>
      <c r="V253" s="17"/>
      <c r="W253" s="17"/>
    </row>
    <row r="254" spans="1:23" x14ac:dyDescent="0.45">
      <c r="A254" s="17" t="s">
        <v>1065</v>
      </c>
      <c r="B254" s="22">
        <v>46051</v>
      </c>
      <c r="C254" s="17">
        <v>151324541</v>
      </c>
      <c r="D254" s="26">
        <f>IFERROR(SUMIF(Servicios_Promotores!$B:$B,C254,Servicios_Promotores!$R:$R),0)</f>
        <v>0</v>
      </c>
      <c r="E254" s="26">
        <f>IFERROR(SUMIF(Pago_GERE!$B:$B,C254,Pago_GERE!$R:$R),0)</f>
        <v>0</v>
      </c>
      <c r="F254" s="26">
        <f>IFERROR(SUMIF(Hoja2!$H:$H,C254,Hoja2!$U:$U),0)</f>
        <v>0</v>
      </c>
      <c r="G254" s="17" t="str">
        <f>IFERROR(VLOOKUP(C254,Hoja3!$C:$D,2,FALSE),"")</f>
        <v xml:space="preserve">FRANCISCO MENDOZA </v>
      </c>
      <c r="H254" s="17"/>
      <c r="I254" s="17" t="s">
        <v>152</v>
      </c>
      <c r="J254" s="17" t="s">
        <v>151</v>
      </c>
      <c r="K254" s="17" t="s">
        <v>42</v>
      </c>
      <c r="L254" s="17">
        <v>10000064</v>
      </c>
      <c r="M254" s="17" t="s">
        <v>211</v>
      </c>
      <c r="N254" s="17">
        <v>22046077</v>
      </c>
      <c r="O254" s="17" t="s">
        <v>1066</v>
      </c>
      <c r="P254" s="17" t="s">
        <v>192</v>
      </c>
      <c r="Q254" s="17" t="s">
        <v>1064</v>
      </c>
      <c r="R254" s="17" t="s">
        <v>1066</v>
      </c>
      <c r="S254" s="17" t="s">
        <v>147</v>
      </c>
      <c r="T254" s="17" t="s">
        <v>146</v>
      </c>
      <c r="U254" s="17" t="s">
        <v>251</v>
      </c>
      <c r="V254" s="17"/>
      <c r="W254" s="17"/>
    </row>
    <row r="255" spans="1:23" x14ac:dyDescent="0.45">
      <c r="A255" s="17" t="s">
        <v>1065</v>
      </c>
      <c r="B255" s="22">
        <v>46049</v>
      </c>
      <c r="C255" s="17">
        <v>151319959</v>
      </c>
      <c r="D255" s="26">
        <f>IFERROR(SUMIF(Servicios_Promotores!$B:$B,C255,Servicios_Promotores!$R:$R),0)</f>
        <v>0</v>
      </c>
      <c r="E255" s="26">
        <f>IFERROR(SUMIF(Pago_GERE!$B:$B,C255,Pago_GERE!$R:$R),0)</f>
        <v>0</v>
      </c>
      <c r="F255" s="26">
        <f>IFERROR(SUMIF(Hoja2!$H:$H,C255,Hoja2!$U:$U),0)</f>
        <v>0</v>
      </c>
      <c r="G255" s="17" t="str">
        <f>IFERROR(VLOOKUP(C255,Hoja3!$C:$D,2,FALSE),"")</f>
        <v xml:space="preserve">FRANCISCO MENDOZA </v>
      </c>
      <c r="H255" s="17"/>
      <c r="I255" s="17" t="s">
        <v>163</v>
      </c>
      <c r="J255" s="17" t="s">
        <v>151</v>
      </c>
      <c r="K255" s="17" t="s">
        <v>101</v>
      </c>
      <c r="L255" s="17">
        <v>10000064</v>
      </c>
      <c r="M255" s="17" t="s">
        <v>211</v>
      </c>
      <c r="N255" s="17">
        <v>21992763</v>
      </c>
      <c r="O255" s="17" t="s">
        <v>1137</v>
      </c>
      <c r="P255" s="17" t="s">
        <v>1138</v>
      </c>
      <c r="Q255" s="17" t="s">
        <v>1064</v>
      </c>
      <c r="R255" s="17" t="s">
        <v>1137</v>
      </c>
      <c r="S255" s="17" t="s">
        <v>147</v>
      </c>
      <c r="T255" s="17" t="s">
        <v>154</v>
      </c>
      <c r="U255" s="17" t="s">
        <v>251</v>
      </c>
      <c r="V255" s="17"/>
      <c r="W255" s="17"/>
    </row>
    <row r="256" spans="1:23" x14ac:dyDescent="0.45">
      <c r="A256" s="17" t="s">
        <v>1065</v>
      </c>
      <c r="B256" s="22">
        <v>46048</v>
      </c>
      <c r="C256" s="17">
        <v>151317754</v>
      </c>
      <c r="D256" s="26">
        <f>IFERROR(SUMIF(Servicios_Promotores!$B:$B,C256,Servicios_Promotores!$R:$R),0)</f>
        <v>0</v>
      </c>
      <c r="E256" s="26">
        <f>IFERROR(SUMIF(Pago_GERE!$B:$B,C256,Pago_GERE!$R:$R),0)</f>
        <v>0</v>
      </c>
      <c r="F256" s="26">
        <f>IFERROR(SUMIF(Hoja2!$H:$H,C256,Hoja2!$U:$U),0)</f>
        <v>0</v>
      </c>
      <c r="G256" s="17" t="str">
        <f>IFERROR(VLOOKUP(C256,Hoja3!$C:$D,2,FALSE),"")</f>
        <v xml:space="preserve">FRANCISCO MENDOZA </v>
      </c>
      <c r="H256" s="17"/>
      <c r="I256" s="17" t="s">
        <v>163</v>
      </c>
      <c r="J256" s="17" t="s">
        <v>151</v>
      </c>
      <c r="K256" s="17" t="s">
        <v>55</v>
      </c>
      <c r="L256" s="17">
        <v>10000064</v>
      </c>
      <c r="M256" s="17" t="s">
        <v>211</v>
      </c>
      <c r="N256" s="17">
        <v>21975148</v>
      </c>
      <c r="O256" s="17" t="s">
        <v>1066</v>
      </c>
      <c r="P256" s="17" t="s">
        <v>221</v>
      </c>
      <c r="Q256" s="17" t="s">
        <v>1064</v>
      </c>
      <c r="R256" s="17" t="s">
        <v>1066</v>
      </c>
      <c r="S256" s="17" t="s">
        <v>147</v>
      </c>
      <c r="T256" s="17" t="s">
        <v>55</v>
      </c>
      <c r="U256" s="17" t="s">
        <v>251</v>
      </c>
      <c r="V256" s="17" t="s">
        <v>210</v>
      </c>
      <c r="W256" s="17"/>
    </row>
    <row r="257" spans="1:23" x14ac:dyDescent="0.45">
      <c r="A257" s="17" t="s">
        <v>254</v>
      </c>
      <c r="B257" s="22">
        <v>46053</v>
      </c>
      <c r="C257" s="17">
        <v>151328027</v>
      </c>
      <c r="D257" s="26">
        <f>IFERROR(SUMIF(Servicios_Promotores!$B:$B,C257,Servicios_Promotores!$R:$R),0)</f>
        <v>0</v>
      </c>
      <c r="E257" s="26">
        <f>IFERROR(SUMIF(Pago_GERE!$B:$B,C257,Pago_GERE!$R:$R),0)</f>
        <v>0</v>
      </c>
      <c r="F257" s="26">
        <f>IFERROR(SUMIF(Hoja2!$H:$H,C257,Hoja2!$U:$U),0)</f>
        <v>878</v>
      </c>
      <c r="G257" s="17" t="str">
        <f>IFERROR(VLOOKUP(C257,Hoja3!$C:$D,2,FALSE),"")</f>
        <v xml:space="preserve">FRANCISCO MENDOZA </v>
      </c>
      <c r="H257" s="22">
        <v>46073</v>
      </c>
      <c r="I257" s="17" t="s">
        <v>152</v>
      </c>
      <c r="J257" s="17" t="s">
        <v>151</v>
      </c>
      <c r="K257" s="17" t="s">
        <v>31</v>
      </c>
      <c r="L257" s="17">
        <v>10000064</v>
      </c>
      <c r="M257" s="17" t="s">
        <v>211</v>
      </c>
      <c r="N257" s="17">
        <v>22100339</v>
      </c>
      <c r="O257" s="17" t="s">
        <v>1059</v>
      </c>
      <c r="P257" s="17" t="s">
        <v>179</v>
      </c>
      <c r="Q257" s="17" t="s">
        <v>253</v>
      </c>
      <c r="R257" s="17" t="s">
        <v>1059</v>
      </c>
      <c r="S257" s="17" t="s">
        <v>147</v>
      </c>
      <c r="T257" s="17" t="s">
        <v>178</v>
      </c>
      <c r="U257" s="17" t="s">
        <v>251</v>
      </c>
      <c r="V257" s="17" t="s">
        <v>581</v>
      </c>
      <c r="W257" s="17" t="s">
        <v>175</v>
      </c>
    </row>
    <row r="258" spans="1:23" x14ac:dyDescent="0.45">
      <c r="A258" s="17" t="s">
        <v>254</v>
      </c>
      <c r="B258" s="22">
        <v>46051</v>
      </c>
      <c r="C258" s="17">
        <v>151324616</v>
      </c>
      <c r="D258" s="26">
        <f>IFERROR(SUMIF(Servicios_Promotores!$B:$B,C258,Servicios_Promotores!$R:$R),0)</f>
        <v>49.999999998</v>
      </c>
      <c r="E258" s="26">
        <f>IFERROR(SUMIF(Pago_GERE!$B:$B,C258,Pago_GERE!$R:$R),0)</f>
        <v>49.999999998</v>
      </c>
      <c r="F258" s="26">
        <f>IFERROR(SUMIF(Hoja2!$H:$H,C258,Hoja2!$U:$U),0)</f>
        <v>764</v>
      </c>
      <c r="G258" s="17" t="str">
        <f>IFERROR(VLOOKUP(C258,Hoja3!$C:$D,2,FALSE),"")</f>
        <v xml:space="preserve">FRANCISCO MENDOZA </v>
      </c>
      <c r="H258" s="22">
        <v>46056</v>
      </c>
      <c r="I258" s="17" t="s">
        <v>152</v>
      </c>
      <c r="J258" s="17" t="s">
        <v>165</v>
      </c>
      <c r="K258" s="17" t="s">
        <v>39</v>
      </c>
      <c r="L258" s="17">
        <v>10000064</v>
      </c>
      <c r="M258" s="17" t="s">
        <v>211</v>
      </c>
      <c r="N258" s="17">
        <v>22117421</v>
      </c>
      <c r="O258" s="17" t="s">
        <v>1051</v>
      </c>
      <c r="P258" s="17" t="s">
        <v>160</v>
      </c>
      <c r="Q258" s="17" t="s">
        <v>253</v>
      </c>
      <c r="R258" s="17" t="s">
        <v>1051</v>
      </c>
      <c r="S258" s="17" t="s">
        <v>147</v>
      </c>
      <c r="T258" s="17" t="s">
        <v>159</v>
      </c>
      <c r="U258" s="17" t="s">
        <v>251</v>
      </c>
      <c r="V258" s="17" t="s">
        <v>1050</v>
      </c>
      <c r="W258" s="17" t="s">
        <v>1049</v>
      </c>
    </row>
    <row r="259" spans="1:23" x14ac:dyDescent="0.45">
      <c r="A259" s="17" t="s">
        <v>254</v>
      </c>
      <c r="B259" s="22">
        <v>46051</v>
      </c>
      <c r="C259" s="17">
        <v>151324567</v>
      </c>
      <c r="D259" s="26">
        <f>IFERROR(SUMIF(Servicios_Promotores!$B:$B,C259,Servicios_Promotores!$R:$R),0)</f>
        <v>0</v>
      </c>
      <c r="E259" s="26">
        <f>IFERROR(SUMIF(Pago_GERE!$B:$B,C259,Pago_GERE!$R:$R),0)</f>
        <v>0</v>
      </c>
      <c r="F259" s="26">
        <f>IFERROR(SUMIF(Hoja2!$H:$H,C259,Hoja2!$U:$U),0)</f>
        <v>0</v>
      </c>
      <c r="G259" s="17" t="str">
        <f>IFERROR(VLOOKUP(C259,Hoja3!$C:$D,2,FALSE),"")</f>
        <v xml:space="preserve">FRANCISCO MENDOZA </v>
      </c>
      <c r="H259" s="22">
        <v>46052</v>
      </c>
      <c r="I259" s="17" t="s">
        <v>152</v>
      </c>
      <c r="J259" s="17" t="s">
        <v>151</v>
      </c>
      <c r="K259" s="17" t="s">
        <v>42</v>
      </c>
      <c r="L259" s="17">
        <v>10000064</v>
      </c>
      <c r="M259" s="17" t="s">
        <v>211</v>
      </c>
      <c r="N259" s="17">
        <v>22050905</v>
      </c>
      <c r="O259" s="17" t="s">
        <v>1048</v>
      </c>
      <c r="P259" s="17" t="s">
        <v>148</v>
      </c>
      <c r="Q259" s="17" t="s">
        <v>253</v>
      </c>
      <c r="R259" s="17" t="s">
        <v>1048</v>
      </c>
      <c r="S259" s="17" t="s">
        <v>147</v>
      </c>
      <c r="T259" s="17" t="s">
        <v>146</v>
      </c>
      <c r="U259" s="17" t="s">
        <v>251</v>
      </c>
      <c r="V259" s="17" t="s">
        <v>859</v>
      </c>
      <c r="W259" s="17" t="s">
        <v>858</v>
      </c>
    </row>
    <row r="260" spans="1:23" x14ac:dyDescent="0.45">
      <c r="A260" s="17" t="s">
        <v>254</v>
      </c>
      <c r="B260" s="22">
        <v>46049</v>
      </c>
      <c r="C260" s="17">
        <v>151319921</v>
      </c>
      <c r="D260" s="26">
        <f>IFERROR(SUMIF(Servicios_Promotores!$B:$B,C260,Servicios_Promotores!$R:$R),0)</f>
        <v>0</v>
      </c>
      <c r="E260" s="26">
        <f>IFERROR(SUMIF(Pago_GERE!$B:$B,C260,Pago_GERE!$R:$R),0)</f>
        <v>0</v>
      </c>
      <c r="F260" s="26">
        <f>IFERROR(SUMIF(Hoja2!$H:$H,C260,Hoja2!$U:$U),0)</f>
        <v>1847</v>
      </c>
      <c r="G260" s="17" t="str">
        <f>IFERROR(VLOOKUP(C260,Hoja3!$C:$D,2,FALSE),"")</f>
        <v xml:space="preserve">FRANCISCO MENDOZA </v>
      </c>
      <c r="H260" s="22">
        <v>46056</v>
      </c>
      <c r="I260" s="17" t="s">
        <v>163</v>
      </c>
      <c r="J260" s="17" t="s">
        <v>151</v>
      </c>
      <c r="K260" s="17" t="s">
        <v>42</v>
      </c>
      <c r="L260" s="17">
        <v>10000064</v>
      </c>
      <c r="M260" s="17" t="s">
        <v>211</v>
      </c>
      <c r="N260" s="17">
        <v>21992179</v>
      </c>
      <c r="O260" s="17" t="s">
        <v>1041</v>
      </c>
      <c r="P260" s="17" t="s">
        <v>148</v>
      </c>
      <c r="Q260" s="17" t="s">
        <v>253</v>
      </c>
      <c r="R260" s="17" t="s">
        <v>1041</v>
      </c>
      <c r="S260" s="17" t="s">
        <v>147</v>
      </c>
      <c r="T260" s="17" t="s">
        <v>146</v>
      </c>
      <c r="U260" s="17" t="s">
        <v>251</v>
      </c>
      <c r="V260" s="17" t="s">
        <v>1040</v>
      </c>
      <c r="W260" s="17" t="s">
        <v>332</v>
      </c>
    </row>
    <row r="261" spans="1:23" x14ac:dyDescent="0.45">
      <c r="A261" s="17" t="s">
        <v>254</v>
      </c>
      <c r="B261" s="22">
        <v>46048</v>
      </c>
      <c r="C261" s="17">
        <v>151316204</v>
      </c>
      <c r="D261" s="26">
        <f>IFERROR(SUMIF(Servicios_Promotores!$B:$B,C261,Servicios_Promotores!$R:$R),0)</f>
        <v>0</v>
      </c>
      <c r="E261" s="26">
        <f>IFERROR(SUMIF(Pago_GERE!$B:$B,C261,Pago_GERE!$R:$R),0)</f>
        <v>0</v>
      </c>
      <c r="F261" s="26">
        <f>IFERROR(SUMIF(Hoja2!$H:$H,C261,Hoja2!$U:$U),0)</f>
        <v>0</v>
      </c>
      <c r="G261" s="17" t="str">
        <f>IFERROR(VLOOKUP(C261,Hoja3!$C:$D,2,FALSE),"")</f>
        <v xml:space="preserve">FRANCISCO MENDOZA </v>
      </c>
      <c r="H261" s="22">
        <v>46049</v>
      </c>
      <c r="I261" s="17" t="s">
        <v>163</v>
      </c>
      <c r="J261" s="17" t="s">
        <v>151</v>
      </c>
      <c r="K261" s="17" t="s">
        <v>31</v>
      </c>
      <c r="L261" s="17">
        <v>10000064</v>
      </c>
      <c r="M261" s="17" t="s">
        <v>211</v>
      </c>
      <c r="N261" s="17">
        <v>21946991</v>
      </c>
      <c r="O261" s="17" t="s">
        <v>1031</v>
      </c>
      <c r="P261" s="17" t="s">
        <v>963</v>
      </c>
      <c r="Q261" s="17" t="s">
        <v>253</v>
      </c>
      <c r="R261" s="17" t="s">
        <v>1031</v>
      </c>
      <c r="S261" s="17" t="s">
        <v>147</v>
      </c>
      <c r="T261" s="17" t="s">
        <v>969</v>
      </c>
      <c r="U261" s="17" t="s">
        <v>251</v>
      </c>
      <c r="V261" s="17" t="s">
        <v>1030</v>
      </c>
      <c r="W261" s="17" t="s">
        <v>1029</v>
      </c>
    </row>
    <row r="262" spans="1:23" x14ac:dyDescent="0.45">
      <c r="A262" s="17"/>
      <c r="B262" s="22">
        <v>46053</v>
      </c>
      <c r="C262" s="17">
        <v>151328038</v>
      </c>
      <c r="D262" s="26">
        <f>IFERROR(SUMIF(Servicios_Promotores!$B:$B,C262,Servicios_Promotores!$R:$R),0)</f>
        <v>0</v>
      </c>
      <c r="E262" s="26">
        <f>IFERROR(SUMIF(Pago_GERE!$B:$B,C262,Pago_GERE!$R:$R),0)</f>
        <v>0</v>
      </c>
      <c r="F262" s="26">
        <f>IFERROR(SUMIF(Hoja2!$H:$H,C262,Hoja2!$U:$U),0)</f>
        <v>0</v>
      </c>
      <c r="G262" s="17" t="str">
        <f>IFERROR(VLOOKUP(C262,Hoja3!$C:$D,2,FALSE),"")</f>
        <v xml:space="preserve">FRANCISCO MENDOZA </v>
      </c>
      <c r="H262" s="17"/>
      <c r="I262" s="17" t="s">
        <v>197</v>
      </c>
      <c r="J262" s="17" t="s">
        <v>165</v>
      </c>
      <c r="K262" s="17" t="s">
        <v>39</v>
      </c>
      <c r="L262" s="17">
        <v>10000064</v>
      </c>
      <c r="M262" s="17" t="s">
        <v>211</v>
      </c>
      <c r="N262" s="17">
        <v>151328038</v>
      </c>
      <c r="O262" s="17" t="s">
        <v>248</v>
      </c>
      <c r="P262" s="17" t="s">
        <v>170</v>
      </c>
      <c r="Q262" s="17"/>
      <c r="R262" s="17"/>
      <c r="S262" s="17" t="s">
        <v>147</v>
      </c>
      <c r="T262" s="17" t="s">
        <v>169</v>
      </c>
      <c r="U262" s="17" t="s">
        <v>145</v>
      </c>
      <c r="V262" s="17"/>
      <c r="W262" s="17"/>
    </row>
    <row r="263" spans="1:23" x14ac:dyDescent="0.45">
      <c r="A263" s="17" t="s">
        <v>254</v>
      </c>
      <c r="B263" s="22">
        <v>46052</v>
      </c>
      <c r="C263" s="17">
        <v>151326581</v>
      </c>
      <c r="D263" s="26">
        <f>IFERROR(SUMIF(Servicios_Promotores!$B:$B,C263,Servicios_Promotores!$R:$R),0)</f>
        <v>75.000000009999994</v>
      </c>
      <c r="E263" s="26">
        <f>IFERROR(SUMIF(Pago_GERE!$B:$B,C263,Pago_GERE!$R:$R),0)</f>
        <v>75.000000009999994</v>
      </c>
      <c r="F263" s="26">
        <f>IFERROR(SUMIF(Hoja2!$H:$H,C263,Hoja2!$U:$U),0)</f>
        <v>878</v>
      </c>
      <c r="G263" s="17" t="str">
        <f>IFERROR(VLOOKUP(C263,Hoja3!$C:$D,2,FALSE),"")</f>
        <v xml:space="preserve">FRANCISCO MENDOZA </v>
      </c>
      <c r="H263" s="22">
        <v>46059</v>
      </c>
      <c r="I263" s="17" t="s">
        <v>152</v>
      </c>
      <c r="J263" s="17" t="s">
        <v>151</v>
      </c>
      <c r="K263" s="17" t="s">
        <v>39</v>
      </c>
      <c r="L263" s="17">
        <v>10000064</v>
      </c>
      <c r="M263" s="17" t="s">
        <v>233</v>
      </c>
      <c r="N263" s="17">
        <v>22106183</v>
      </c>
      <c r="O263" s="17" t="s">
        <v>1054</v>
      </c>
      <c r="P263" s="17" t="s">
        <v>170</v>
      </c>
      <c r="Q263" s="17" t="s">
        <v>253</v>
      </c>
      <c r="R263" s="17" t="s">
        <v>1054</v>
      </c>
      <c r="S263" s="17" t="s">
        <v>147</v>
      </c>
      <c r="T263" s="17" t="s">
        <v>169</v>
      </c>
      <c r="U263" s="17" t="s">
        <v>251</v>
      </c>
      <c r="V263" s="17" t="s">
        <v>1053</v>
      </c>
      <c r="W263" s="17" t="s">
        <v>1052</v>
      </c>
    </row>
    <row r="264" spans="1:23" x14ac:dyDescent="0.45">
      <c r="A264" s="17" t="s">
        <v>254</v>
      </c>
      <c r="B264" s="22">
        <v>46051</v>
      </c>
      <c r="C264" s="17">
        <v>151324496</v>
      </c>
      <c r="D264" s="26">
        <f>IFERROR(SUMIF(Servicios_Promotores!$B:$B,C264,Servicios_Promotores!$R:$R),0)</f>
        <v>0</v>
      </c>
      <c r="E264" s="26">
        <f>IFERROR(SUMIF(Pago_GERE!$B:$B,C264,Pago_GERE!$R:$R),0)</f>
        <v>0</v>
      </c>
      <c r="F264" s="26">
        <f>IFERROR(SUMIF(Hoja2!$H:$H,C264,Hoja2!$U:$U),0)</f>
        <v>1249</v>
      </c>
      <c r="G264" s="17" t="str">
        <f>IFERROR(VLOOKUP(C264,Hoja3!$C:$D,2,FALSE),"")</f>
        <v xml:space="preserve">FRANCISCO MENDOZA </v>
      </c>
      <c r="H264" s="22">
        <v>46058</v>
      </c>
      <c r="I264" s="17" t="s">
        <v>152</v>
      </c>
      <c r="J264" s="17" t="s">
        <v>151</v>
      </c>
      <c r="K264" s="17" t="s">
        <v>39</v>
      </c>
      <c r="L264" s="17">
        <v>10000064</v>
      </c>
      <c r="M264" s="17" t="s">
        <v>233</v>
      </c>
      <c r="N264" s="17">
        <v>22046750</v>
      </c>
      <c r="O264" s="17" t="s">
        <v>1047</v>
      </c>
      <c r="P264" s="17" t="s">
        <v>170</v>
      </c>
      <c r="Q264" s="17" t="s">
        <v>253</v>
      </c>
      <c r="R264" s="17" t="s">
        <v>1047</v>
      </c>
      <c r="S264" s="17" t="s">
        <v>147</v>
      </c>
      <c r="T264" s="17" t="s">
        <v>169</v>
      </c>
      <c r="U264" s="17" t="s">
        <v>251</v>
      </c>
      <c r="V264" s="17" t="s">
        <v>1046</v>
      </c>
      <c r="W264" s="17" t="s">
        <v>670</v>
      </c>
    </row>
    <row r="265" spans="1:23" x14ac:dyDescent="0.45">
      <c r="A265" s="17" t="s">
        <v>254</v>
      </c>
      <c r="B265" s="22">
        <v>46048</v>
      </c>
      <c r="C265" s="17">
        <v>151317824</v>
      </c>
      <c r="D265" s="26">
        <f>IFERROR(SUMIF(Servicios_Promotores!$B:$B,C265,Servicios_Promotores!$R:$R),0)</f>
        <v>0</v>
      </c>
      <c r="E265" s="26">
        <f>IFERROR(SUMIF(Pago_GERE!$B:$B,C265,Pago_GERE!$R:$R),0)</f>
        <v>0</v>
      </c>
      <c r="F265" s="26">
        <f>IFERROR(SUMIF(Hoja2!$H:$H,C265,Hoja2!$U:$U),0)</f>
        <v>1897</v>
      </c>
      <c r="G265" s="17" t="str">
        <f>IFERROR(VLOOKUP(C265,Hoja3!$C:$D,2,FALSE),"")</f>
        <v xml:space="preserve">FRANCISCO MENDOZA </v>
      </c>
      <c r="H265" s="22">
        <v>46049</v>
      </c>
      <c r="I265" s="17" t="s">
        <v>152</v>
      </c>
      <c r="J265" s="17" t="s">
        <v>151</v>
      </c>
      <c r="K265" s="17" t="s">
        <v>101</v>
      </c>
      <c r="L265" s="17">
        <v>10000064</v>
      </c>
      <c r="M265" s="17" t="s">
        <v>233</v>
      </c>
      <c r="N265" s="17">
        <v>21972790</v>
      </c>
      <c r="O265" s="17" t="s">
        <v>1037</v>
      </c>
      <c r="P265" s="17" t="s">
        <v>156</v>
      </c>
      <c r="Q265" s="17" t="s">
        <v>253</v>
      </c>
      <c r="R265" s="17" t="s">
        <v>1037</v>
      </c>
      <c r="S265" s="17" t="s">
        <v>147</v>
      </c>
      <c r="T265" s="17" t="s">
        <v>154</v>
      </c>
      <c r="U265" s="17" t="s">
        <v>251</v>
      </c>
      <c r="V265" s="17" t="s">
        <v>1036</v>
      </c>
      <c r="W265" s="17" t="s">
        <v>249</v>
      </c>
    </row>
    <row r="266" spans="1:23" x14ac:dyDescent="0.45">
      <c r="A266" s="17" t="s">
        <v>254</v>
      </c>
      <c r="B266" s="22">
        <v>46048</v>
      </c>
      <c r="C266" s="17">
        <v>151317721</v>
      </c>
      <c r="D266" s="26">
        <f>IFERROR(SUMIF(Servicios_Promotores!$B:$B,C266,Servicios_Promotores!$R:$R),0)</f>
        <v>0</v>
      </c>
      <c r="E266" s="26">
        <f>IFERROR(SUMIF(Pago_GERE!$B:$B,C266,Pago_GERE!$R:$R),0)</f>
        <v>0</v>
      </c>
      <c r="F266" s="26">
        <f>IFERROR(SUMIF(Hoja2!$H:$H,C266,Hoja2!$U:$U),0)</f>
        <v>0</v>
      </c>
      <c r="G266" s="17" t="str">
        <f>IFERROR(VLOOKUP(C266,Hoja3!$C:$D,2,FALSE),"")</f>
        <v xml:space="preserve">FRANCISCO MENDOZA </v>
      </c>
      <c r="H266" s="22">
        <v>46052</v>
      </c>
      <c r="I266" s="17" t="s">
        <v>152</v>
      </c>
      <c r="J266" s="17" t="s">
        <v>151</v>
      </c>
      <c r="K266" s="17" t="s">
        <v>55</v>
      </c>
      <c r="L266" s="17">
        <v>10000064</v>
      </c>
      <c r="M266" s="17" t="s">
        <v>233</v>
      </c>
      <c r="N266" s="17">
        <v>21978293</v>
      </c>
      <c r="O266" s="17" t="s">
        <v>1033</v>
      </c>
      <c r="P266" s="17" t="s">
        <v>221</v>
      </c>
      <c r="Q266" s="17" t="s">
        <v>253</v>
      </c>
      <c r="R266" s="17" t="s">
        <v>1033</v>
      </c>
      <c r="S266" s="17" t="s">
        <v>147</v>
      </c>
      <c r="T266" s="17" t="s">
        <v>55</v>
      </c>
      <c r="U266" s="17" t="s">
        <v>251</v>
      </c>
      <c r="V266" s="17" t="s">
        <v>1032</v>
      </c>
      <c r="W266" s="17" t="s">
        <v>249</v>
      </c>
    </row>
    <row r="267" spans="1:23" x14ac:dyDescent="0.45">
      <c r="A267" s="17" t="s">
        <v>254</v>
      </c>
      <c r="B267" s="22">
        <v>46053</v>
      </c>
      <c r="C267" s="17">
        <v>151328067</v>
      </c>
      <c r="D267" s="26">
        <f>IFERROR(SUMIF(Servicios_Promotores!$B:$B,C267,Servicios_Promotores!$R:$R),0)</f>
        <v>0</v>
      </c>
      <c r="E267" s="26">
        <f>IFERROR(SUMIF(Pago_GERE!$B:$B,C267,Pago_GERE!$R:$R),0)</f>
        <v>0</v>
      </c>
      <c r="F267" s="26">
        <f>IFERROR(SUMIF(Hoja2!$H:$H,C267,Hoja2!$U:$U),0)</f>
        <v>0</v>
      </c>
      <c r="G267" s="17" t="str">
        <f>IFERROR(VLOOKUP(C267,Hoja3!$C:$D,2,FALSE),"")</f>
        <v xml:space="preserve">FRANCISCO MENDOZA </v>
      </c>
      <c r="H267" s="22">
        <v>46054</v>
      </c>
      <c r="I267" s="17" t="s">
        <v>163</v>
      </c>
      <c r="J267" s="17" t="s">
        <v>151</v>
      </c>
      <c r="K267" s="17" t="s">
        <v>36</v>
      </c>
      <c r="L267" s="17">
        <v>10000064</v>
      </c>
      <c r="M267" s="17" t="s">
        <v>149</v>
      </c>
      <c r="N267" s="17">
        <v>22077487</v>
      </c>
      <c r="O267" s="17" t="s">
        <v>1062</v>
      </c>
      <c r="P267" s="17" t="s">
        <v>174</v>
      </c>
      <c r="Q267" s="17" t="s">
        <v>253</v>
      </c>
      <c r="R267" s="17" t="s">
        <v>1062</v>
      </c>
      <c r="S267" s="17" t="s">
        <v>147</v>
      </c>
      <c r="T267" s="17" t="s">
        <v>173</v>
      </c>
      <c r="U267" s="17" t="s">
        <v>251</v>
      </c>
      <c r="V267" s="17" t="s">
        <v>1061</v>
      </c>
      <c r="W267" s="17" t="s">
        <v>1060</v>
      </c>
    </row>
    <row r="268" spans="1:23" x14ac:dyDescent="0.45">
      <c r="A268" s="17" t="s">
        <v>254</v>
      </c>
      <c r="B268" s="22">
        <v>46053</v>
      </c>
      <c r="C268" s="17">
        <v>151328060</v>
      </c>
      <c r="D268" s="26">
        <f>IFERROR(SUMIF(Servicios_Promotores!$B:$B,C268,Servicios_Promotores!$R:$R),0)</f>
        <v>49.999999998</v>
      </c>
      <c r="E268" s="26">
        <f>IFERROR(SUMIF(Pago_GERE!$B:$B,C268,Pago_GERE!$R:$R),0)</f>
        <v>49.999999998</v>
      </c>
      <c r="F268" s="26">
        <f>IFERROR(SUMIF(Hoja2!$H:$H,C268,Hoja2!$U:$U),0)</f>
        <v>0</v>
      </c>
      <c r="G268" s="17" t="str">
        <f>IFERROR(VLOOKUP(C268,Hoja3!$C:$D,2,FALSE),"")</f>
        <v xml:space="preserve">FRANCISCO MENDOZA </v>
      </c>
      <c r="H268" s="22">
        <v>46058</v>
      </c>
      <c r="I268" s="17" t="s">
        <v>163</v>
      </c>
      <c r="J268" s="17" t="s">
        <v>151</v>
      </c>
      <c r="K268" s="17" t="s">
        <v>45</v>
      </c>
      <c r="L268" s="17">
        <v>10000064</v>
      </c>
      <c r="M268" s="17" t="s">
        <v>149</v>
      </c>
      <c r="N268" s="17">
        <v>22087667</v>
      </c>
      <c r="O268" s="17" t="s">
        <v>1058</v>
      </c>
      <c r="P268" s="17" t="s">
        <v>963</v>
      </c>
      <c r="Q268" s="17" t="s">
        <v>253</v>
      </c>
      <c r="R268" s="17" t="s">
        <v>1058</v>
      </c>
      <c r="S268" s="17" t="s">
        <v>147</v>
      </c>
      <c r="T268" s="17" t="s">
        <v>1057</v>
      </c>
      <c r="U268" s="17" t="s">
        <v>251</v>
      </c>
      <c r="V268" s="17" t="s">
        <v>1056</v>
      </c>
      <c r="W268" s="17" t="s">
        <v>1055</v>
      </c>
    </row>
    <row r="269" spans="1:23" x14ac:dyDescent="0.45">
      <c r="A269" s="17" t="s">
        <v>254</v>
      </c>
      <c r="B269" s="22">
        <v>46050</v>
      </c>
      <c r="C269" s="17">
        <v>151322446</v>
      </c>
      <c r="D269" s="26">
        <f>IFERROR(SUMIF(Servicios_Promotores!$B:$B,C269,Servicios_Promotores!$R:$R),0)</f>
        <v>0</v>
      </c>
      <c r="E269" s="26">
        <f>IFERROR(SUMIF(Pago_GERE!$B:$B,C269,Pago_GERE!$R:$R),0)</f>
        <v>0</v>
      </c>
      <c r="F269" s="26">
        <f>IFERROR(SUMIF(Hoja2!$H:$H,C269,Hoja2!$U:$U),0)</f>
        <v>0</v>
      </c>
      <c r="G269" s="17" t="str">
        <f>IFERROR(VLOOKUP(C269,Hoja3!$C:$D,2,FALSE),"")</f>
        <v xml:space="preserve">FRANCISCO MENDOZA </v>
      </c>
      <c r="H269" s="22">
        <v>46051</v>
      </c>
      <c r="I269" s="17" t="s">
        <v>197</v>
      </c>
      <c r="J269" s="17" t="s">
        <v>151</v>
      </c>
      <c r="K269" s="17" t="s">
        <v>42</v>
      </c>
      <c r="L269" s="17">
        <v>10000064</v>
      </c>
      <c r="M269" s="17" t="s">
        <v>149</v>
      </c>
      <c r="N269" s="17">
        <v>22021577</v>
      </c>
      <c r="O269" s="17" t="s">
        <v>1045</v>
      </c>
      <c r="P269" s="17" t="s">
        <v>192</v>
      </c>
      <c r="Q269" s="17" t="s">
        <v>253</v>
      </c>
      <c r="R269" s="17" t="s">
        <v>1045</v>
      </c>
      <c r="S269" s="17" t="s">
        <v>147</v>
      </c>
      <c r="T269" s="17" t="s">
        <v>146</v>
      </c>
      <c r="U269" s="17" t="s">
        <v>251</v>
      </c>
      <c r="V269" s="17" t="s">
        <v>637</v>
      </c>
      <c r="W269" s="17" t="s">
        <v>636</v>
      </c>
    </row>
    <row r="270" spans="1:23" x14ac:dyDescent="0.45">
      <c r="A270" s="17" t="s">
        <v>254</v>
      </c>
      <c r="B270" s="22">
        <v>46087</v>
      </c>
      <c r="C270" s="17">
        <v>151390869</v>
      </c>
      <c r="D270" s="26">
        <f>IFERROR(SUMIF(Servicios_Promotores!$B:$B,C270,Servicios_Promotores!$R:$R),0)</f>
        <v>49.999999998</v>
      </c>
      <c r="E270" s="26">
        <f>IFERROR(SUMIF(Pago_GERE!$B:$B,C270,Pago_GERE!$R:$R),0)</f>
        <v>49.999999998</v>
      </c>
      <c r="F270" s="26">
        <f>IFERROR(SUMIF(Hoja2!$H:$H,C270,Hoja2!$U:$U),0)</f>
        <v>0</v>
      </c>
      <c r="G270" s="17" t="str">
        <f>IFERROR(VLOOKUP(C270,Hoja3!$C:$D,2,FALSE),"")</f>
        <v xml:space="preserve">FRANCISCO MENDOZA </v>
      </c>
      <c r="H270" s="22">
        <v>46090</v>
      </c>
      <c r="I270" s="17" t="s">
        <v>158</v>
      </c>
      <c r="J270" s="17" t="s">
        <v>151</v>
      </c>
      <c r="K270" s="17" t="s">
        <v>55</v>
      </c>
      <c r="L270" s="17">
        <v>10001013</v>
      </c>
      <c r="M270" s="17" t="s">
        <v>196</v>
      </c>
      <c r="N270" s="17">
        <v>22825675</v>
      </c>
      <c r="O270" s="17" t="s">
        <v>580</v>
      </c>
      <c r="P270" s="17" t="s">
        <v>221</v>
      </c>
      <c r="Q270" s="17" t="s">
        <v>253</v>
      </c>
      <c r="R270" s="17" t="s">
        <v>580</v>
      </c>
      <c r="S270" s="17" t="s">
        <v>155</v>
      </c>
      <c r="T270" s="17" t="s">
        <v>55</v>
      </c>
      <c r="U270" s="17" t="s">
        <v>251</v>
      </c>
      <c r="V270" s="17" t="s">
        <v>579</v>
      </c>
      <c r="W270" s="17" t="s">
        <v>441</v>
      </c>
    </row>
    <row r="271" spans="1:23" x14ac:dyDescent="0.45">
      <c r="A271" s="17" t="s">
        <v>254</v>
      </c>
      <c r="B271" s="22">
        <v>46087</v>
      </c>
      <c r="C271" s="17">
        <v>151390842</v>
      </c>
      <c r="D271" s="26">
        <f>IFERROR(SUMIF(Servicios_Promotores!$B:$B,C271,Servicios_Promotores!$R:$R),0)</f>
        <v>49.999999998</v>
      </c>
      <c r="E271" s="26">
        <f>IFERROR(SUMIF(Pago_GERE!$B:$B,C271,Pago_GERE!$R:$R),0)</f>
        <v>49.999999998</v>
      </c>
      <c r="F271" s="26">
        <f>IFERROR(SUMIF(Hoja2!$H:$H,C271,Hoja2!$U:$U),0)</f>
        <v>0</v>
      </c>
      <c r="G271" s="17" t="str">
        <f>IFERROR(VLOOKUP(C271,Hoja3!$C:$D,2,FALSE),"")</f>
        <v xml:space="preserve">FRANCISCO MENDOZA </v>
      </c>
      <c r="H271" s="22">
        <v>46091</v>
      </c>
      <c r="I271" s="17" t="s">
        <v>197</v>
      </c>
      <c r="J271" s="17" t="s">
        <v>165</v>
      </c>
      <c r="K271" s="17" t="s">
        <v>55</v>
      </c>
      <c r="L271" s="17">
        <v>10001013</v>
      </c>
      <c r="M271" s="17" t="s">
        <v>196</v>
      </c>
      <c r="N271" s="17">
        <v>22826569</v>
      </c>
      <c r="O271" s="17" t="s">
        <v>575</v>
      </c>
      <c r="P271" s="17" t="s">
        <v>296</v>
      </c>
      <c r="Q271" s="17" t="s">
        <v>253</v>
      </c>
      <c r="R271" s="17" t="s">
        <v>575</v>
      </c>
      <c r="S271" s="17" t="s">
        <v>147</v>
      </c>
      <c r="T271" s="17" t="s">
        <v>257</v>
      </c>
      <c r="U271" s="17" t="s">
        <v>251</v>
      </c>
      <c r="V271" s="17" t="s">
        <v>574</v>
      </c>
      <c r="W271" s="17" t="s">
        <v>377</v>
      </c>
    </row>
    <row r="272" spans="1:23" x14ac:dyDescent="0.45">
      <c r="A272" s="17" t="s">
        <v>254</v>
      </c>
      <c r="B272" s="22">
        <v>46058</v>
      </c>
      <c r="C272" s="17">
        <v>151336479</v>
      </c>
      <c r="D272" s="26">
        <f>IFERROR(SUMIF(Servicios_Promotores!$B:$B,C272,Servicios_Promotores!$R:$R),0)</f>
        <v>0</v>
      </c>
      <c r="E272" s="26">
        <f>IFERROR(SUMIF(Pago_GERE!$B:$B,C272,Pago_GERE!$R:$R),0)</f>
        <v>0</v>
      </c>
      <c r="F272" s="26">
        <f>IFERROR(SUMIF(Hoja2!$H:$H,C272,Hoja2!$U:$U),0)</f>
        <v>0</v>
      </c>
      <c r="G272" s="17" t="str">
        <f>IFERROR(VLOOKUP(C272,Hoja3!$C:$D,2,FALSE),"")</f>
        <v>GENESIS DIEGO</v>
      </c>
      <c r="H272" s="22">
        <v>46060</v>
      </c>
      <c r="I272" s="17" t="s">
        <v>220</v>
      </c>
      <c r="J272" s="17" t="s">
        <v>151</v>
      </c>
      <c r="K272" s="17" t="s">
        <v>101</v>
      </c>
      <c r="L272" s="17">
        <v>10001013</v>
      </c>
      <c r="M272" s="17" t="s">
        <v>239</v>
      </c>
      <c r="N272" s="17">
        <v>22190549</v>
      </c>
      <c r="O272" s="17" t="s">
        <v>716</v>
      </c>
      <c r="P272" s="17" t="s">
        <v>717</v>
      </c>
      <c r="Q272" s="17" t="s">
        <v>253</v>
      </c>
      <c r="R272" s="17" t="s">
        <v>716</v>
      </c>
      <c r="S272" s="17" t="s">
        <v>155</v>
      </c>
      <c r="T272" s="17" t="s">
        <v>154</v>
      </c>
      <c r="U272" s="17" t="s">
        <v>251</v>
      </c>
      <c r="V272" s="17" t="s">
        <v>715</v>
      </c>
      <c r="W272" s="17" t="s">
        <v>714</v>
      </c>
    </row>
    <row r="273" spans="1:23" x14ac:dyDescent="0.45">
      <c r="A273" s="17" t="s">
        <v>254</v>
      </c>
      <c r="B273" s="22">
        <v>46057</v>
      </c>
      <c r="C273" s="17">
        <v>151334236</v>
      </c>
      <c r="D273" s="26">
        <f>IFERROR(SUMIF(Servicios_Promotores!$B:$B,C273,Servicios_Promotores!$R:$R),0)</f>
        <v>0</v>
      </c>
      <c r="E273" s="26">
        <f>IFERROR(SUMIF(Pago_GERE!$B:$B,C273,Pago_GERE!$R:$R),0)</f>
        <v>0</v>
      </c>
      <c r="F273" s="26">
        <f>IFERROR(SUMIF(Hoja2!$H:$H,C273,Hoja2!$U:$U),0)</f>
        <v>0</v>
      </c>
      <c r="G273" s="17" t="str">
        <f>IFERROR(VLOOKUP(C273,Hoja3!$C:$D,2,FALSE),"")</f>
        <v>GENESIS DIEGO</v>
      </c>
      <c r="H273" s="22">
        <v>46058</v>
      </c>
      <c r="I273" s="17" t="s">
        <v>158</v>
      </c>
      <c r="J273" s="17" t="s">
        <v>151</v>
      </c>
      <c r="K273" s="17" t="s">
        <v>42</v>
      </c>
      <c r="L273" s="17">
        <v>10001013</v>
      </c>
      <c r="M273" s="17" t="s">
        <v>239</v>
      </c>
      <c r="N273" s="17">
        <v>22168554</v>
      </c>
      <c r="O273" s="17" t="s">
        <v>710</v>
      </c>
      <c r="P273" s="17" t="s">
        <v>148</v>
      </c>
      <c r="Q273" s="17" t="s">
        <v>253</v>
      </c>
      <c r="R273" s="17" t="s">
        <v>710</v>
      </c>
      <c r="S273" s="17" t="s">
        <v>155</v>
      </c>
      <c r="T273" s="17" t="s">
        <v>146</v>
      </c>
      <c r="U273" s="17" t="s">
        <v>251</v>
      </c>
      <c r="V273" s="17" t="s">
        <v>393</v>
      </c>
      <c r="W273" s="17" t="s">
        <v>321</v>
      </c>
    </row>
    <row r="274" spans="1:23" x14ac:dyDescent="0.45">
      <c r="A274" s="17" t="s">
        <v>254</v>
      </c>
      <c r="B274" s="22">
        <v>46057</v>
      </c>
      <c r="C274" s="17">
        <v>151334172</v>
      </c>
      <c r="D274" s="26">
        <f>IFERROR(SUMIF(Servicios_Promotores!$B:$B,C274,Servicios_Promotores!$R:$R),0)</f>
        <v>49.999999998</v>
      </c>
      <c r="E274" s="26">
        <f>IFERROR(SUMIF(Pago_GERE!$B:$B,C274,Pago_GERE!$R:$R),0)</f>
        <v>49.999999998</v>
      </c>
      <c r="F274" s="26">
        <f>IFERROR(SUMIF(Hoja2!$H:$H,C274,Hoja2!$U:$U),0)</f>
        <v>0</v>
      </c>
      <c r="G274" s="17" t="str">
        <f>IFERROR(VLOOKUP(C274,Hoja3!$C:$D,2,FALSE),"")</f>
        <v>GENESIS DIEGO</v>
      </c>
      <c r="H274" s="22">
        <v>46058</v>
      </c>
      <c r="I274" s="17" t="s">
        <v>158</v>
      </c>
      <c r="J274" s="17" t="s">
        <v>151</v>
      </c>
      <c r="K274" s="17" t="s">
        <v>55</v>
      </c>
      <c r="L274" s="17">
        <v>10001013</v>
      </c>
      <c r="M274" s="17" t="s">
        <v>239</v>
      </c>
      <c r="N274" s="17">
        <v>22172308</v>
      </c>
      <c r="O274" s="17" t="s">
        <v>709</v>
      </c>
      <c r="P274" s="17" t="s">
        <v>221</v>
      </c>
      <c r="Q274" s="17" t="s">
        <v>253</v>
      </c>
      <c r="R274" s="17" t="s">
        <v>709</v>
      </c>
      <c r="S274" s="17" t="s">
        <v>155</v>
      </c>
      <c r="T274" s="17" t="s">
        <v>55</v>
      </c>
      <c r="U274" s="17" t="s">
        <v>251</v>
      </c>
      <c r="V274" s="17" t="s">
        <v>708</v>
      </c>
      <c r="W274" s="17" t="s">
        <v>249</v>
      </c>
    </row>
    <row r="275" spans="1:23" x14ac:dyDescent="0.45">
      <c r="A275" s="17" t="s">
        <v>254</v>
      </c>
      <c r="B275" s="22">
        <v>46054</v>
      </c>
      <c r="C275" s="17">
        <v>151328620</v>
      </c>
      <c r="D275" s="26">
        <f>IFERROR(SUMIF(Servicios_Promotores!$B:$B,C275,Servicios_Promotores!$R:$R),0)</f>
        <v>0</v>
      </c>
      <c r="E275" s="26">
        <f>IFERROR(SUMIF(Pago_GERE!$B:$B,C275,Pago_GERE!$R:$R),0)</f>
        <v>0</v>
      </c>
      <c r="F275" s="26">
        <f>IFERROR(SUMIF(Hoja2!$H:$H,C275,Hoja2!$U:$U),0)</f>
        <v>1847</v>
      </c>
      <c r="G275" s="17" t="str">
        <f>IFERROR(VLOOKUP(C275,Hoja3!$C:$D,2,FALSE),"")</f>
        <v>GENESIS DIEGO</v>
      </c>
      <c r="H275" s="22">
        <v>46056</v>
      </c>
      <c r="I275" s="17" t="s">
        <v>468</v>
      </c>
      <c r="J275" s="17" t="s">
        <v>151</v>
      </c>
      <c r="K275" s="17" t="s">
        <v>62</v>
      </c>
      <c r="L275" s="17">
        <v>10001013</v>
      </c>
      <c r="M275" s="17" t="s">
        <v>207</v>
      </c>
      <c r="N275" s="17">
        <v>22086813</v>
      </c>
      <c r="O275" s="17" t="s">
        <v>694</v>
      </c>
      <c r="P275" s="17" t="s">
        <v>695</v>
      </c>
      <c r="Q275" s="17" t="s">
        <v>253</v>
      </c>
      <c r="R275" s="17" t="s">
        <v>694</v>
      </c>
      <c r="S275" s="17" t="s">
        <v>155</v>
      </c>
      <c r="T275" s="17" t="s">
        <v>390</v>
      </c>
      <c r="U275" s="17" t="s">
        <v>251</v>
      </c>
      <c r="V275" s="17" t="s">
        <v>693</v>
      </c>
      <c r="W275" s="17" t="s">
        <v>692</v>
      </c>
    </row>
    <row r="276" spans="1:23" x14ac:dyDescent="0.45">
      <c r="A276" s="17" t="s">
        <v>254</v>
      </c>
      <c r="B276" s="22">
        <v>46054</v>
      </c>
      <c r="C276" s="17">
        <v>151328638</v>
      </c>
      <c r="D276" s="26">
        <f>IFERROR(SUMIF(Servicios_Promotores!$B:$B,C276,Servicios_Promotores!$R:$R),0)</f>
        <v>0</v>
      </c>
      <c r="E276" s="26">
        <f>IFERROR(SUMIF(Pago_GERE!$B:$B,C276,Pago_GERE!$R:$R),0)</f>
        <v>0</v>
      </c>
      <c r="F276" s="26">
        <f>IFERROR(SUMIF(Hoja2!$H:$H,C276,Hoja2!$U:$U),0)</f>
        <v>0</v>
      </c>
      <c r="G276" s="17" t="str">
        <f>IFERROR(VLOOKUP(C276,Hoja3!$C:$D,2,FALSE),"")</f>
        <v>GENESIS DIEGO</v>
      </c>
      <c r="H276" s="22">
        <v>46055</v>
      </c>
      <c r="I276" s="17" t="s">
        <v>152</v>
      </c>
      <c r="J276" s="17" t="s">
        <v>165</v>
      </c>
      <c r="K276" s="17" t="s">
        <v>42</v>
      </c>
      <c r="L276" s="17">
        <v>10001013</v>
      </c>
      <c r="M276" s="17" t="s">
        <v>207</v>
      </c>
      <c r="N276" s="17">
        <v>22086476</v>
      </c>
      <c r="O276" s="17" t="s">
        <v>691</v>
      </c>
      <c r="P276" s="17" t="s">
        <v>192</v>
      </c>
      <c r="Q276" s="17" t="s">
        <v>253</v>
      </c>
      <c r="R276" s="17" t="s">
        <v>691</v>
      </c>
      <c r="S276" s="17" t="s">
        <v>147</v>
      </c>
      <c r="T276" s="17" t="s">
        <v>146</v>
      </c>
      <c r="U276" s="17" t="s">
        <v>251</v>
      </c>
      <c r="V276" s="17" t="s">
        <v>690</v>
      </c>
      <c r="W276" s="17" t="s">
        <v>689</v>
      </c>
    </row>
    <row r="277" spans="1:23" x14ac:dyDescent="0.45">
      <c r="A277" s="17" t="s">
        <v>1065</v>
      </c>
      <c r="B277" s="22">
        <v>46057</v>
      </c>
      <c r="C277" s="17">
        <v>151334288</v>
      </c>
      <c r="D277" s="26">
        <f>IFERROR(SUMIF(Servicios_Promotores!$B:$B,C277,Servicios_Promotores!$R:$R),0)</f>
        <v>0</v>
      </c>
      <c r="E277" s="26">
        <f>IFERROR(SUMIF(Pago_GERE!$B:$B,C277,Pago_GERE!$R:$R),0)</f>
        <v>0</v>
      </c>
      <c r="F277" s="26">
        <f>IFERROR(SUMIF(Hoja2!$H:$H,C277,Hoja2!$U:$U),0)</f>
        <v>0</v>
      </c>
      <c r="G277" s="17" t="str">
        <f>IFERROR(VLOOKUP(C277,Hoja3!$C:$D,2,FALSE),"")</f>
        <v>GENESIS DIEGO</v>
      </c>
      <c r="H277" s="17"/>
      <c r="I277" s="17" t="s">
        <v>191</v>
      </c>
      <c r="J277" s="17" t="s">
        <v>165</v>
      </c>
      <c r="K277" s="17" t="s">
        <v>42</v>
      </c>
      <c r="L277" s="17">
        <v>10000064</v>
      </c>
      <c r="M277" s="17" t="s">
        <v>211</v>
      </c>
      <c r="N277" s="17">
        <v>22165807</v>
      </c>
      <c r="O277" s="17" t="s">
        <v>1110</v>
      </c>
      <c r="P277" s="17" t="s">
        <v>148</v>
      </c>
      <c r="Q277" s="17" t="s">
        <v>1064</v>
      </c>
      <c r="R277" s="17" t="s">
        <v>1110</v>
      </c>
      <c r="S277" s="17" t="s">
        <v>155</v>
      </c>
      <c r="T277" s="17" t="s">
        <v>146</v>
      </c>
      <c r="U277" s="17" t="s">
        <v>251</v>
      </c>
      <c r="V277" s="17"/>
      <c r="W277" s="17"/>
    </row>
    <row r="278" spans="1:23" x14ac:dyDescent="0.45">
      <c r="A278" s="17" t="s">
        <v>1065</v>
      </c>
      <c r="B278" s="22">
        <v>46057</v>
      </c>
      <c r="C278" s="17">
        <v>151334532</v>
      </c>
      <c r="D278" s="26">
        <f>IFERROR(SUMIF(Servicios_Promotores!$B:$B,C278,Servicios_Promotores!$R:$R),0)</f>
        <v>0</v>
      </c>
      <c r="E278" s="26">
        <f>IFERROR(SUMIF(Pago_GERE!$B:$B,C278,Pago_GERE!$R:$R),0)</f>
        <v>0</v>
      </c>
      <c r="F278" s="26">
        <f>IFERROR(SUMIF(Hoja2!$H:$H,C278,Hoja2!$U:$U),0)</f>
        <v>0</v>
      </c>
      <c r="G278" s="17" t="str">
        <f>IFERROR(VLOOKUP(C278,Hoja3!$C:$D,2,FALSE),"")</f>
        <v>GENESIS DIEGO</v>
      </c>
      <c r="H278" s="17"/>
      <c r="I278" s="17" t="s">
        <v>209</v>
      </c>
      <c r="J278" s="17" t="s">
        <v>165</v>
      </c>
      <c r="K278" s="17" t="s">
        <v>31</v>
      </c>
      <c r="L278" s="17">
        <v>10000064</v>
      </c>
      <c r="M278" s="17" t="s">
        <v>211</v>
      </c>
      <c r="N278" s="17">
        <v>22168175</v>
      </c>
      <c r="O278" s="17" t="s">
        <v>1109</v>
      </c>
      <c r="P278" s="17" t="s">
        <v>179</v>
      </c>
      <c r="Q278" s="17" t="s">
        <v>1064</v>
      </c>
      <c r="R278" s="17" t="s">
        <v>1109</v>
      </c>
      <c r="S278" s="17" t="s">
        <v>147</v>
      </c>
      <c r="T278" s="17" t="s">
        <v>178</v>
      </c>
      <c r="U278" s="17" t="s">
        <v>251</v>
      </c>
      <c r="V278" s="17"/>
      <c r="W278" s="17"/>
    </row>
    <row r="279" spans="1:23" x14ac:dyDescent="0.45">
      <c r="A279" s="17" t="s">
        <v>254</v>
      </c>
      <c r="B279" s="22">
        <v>46063</v>
      </c>
      <c r="C279" s="17">
        <v>151344986</v>
      </c>
      <c r="D279" s="26">
        <f>IFERROR(SUMIF(Servicios_Promotores!$B:$B,C279,Servicios_Promotores!$R:$R),0)</f>
        <v>75.000000009999994</v>
      </c>
      <c r="E279" s="26">
        <f>IFERROR(SUMIF(Pago_GERE!$B:$B,C279,Pago_GERE!$R:$R),0)</f>
        <v>75.000000009999994</v>
      </c>
      <c r="F279" s="26">
        <f>IFERROR(SUMIF(Hoja2!$H:$H,C279,Hoja2!$U:$U),0)</f>
        <v>953</v>
      </c>
      <c r="G279" s="17" t="str">
        <f>IFERROR(VLOOKUP(C279,Hoja3!$C:$D,2,FALSE),"")</f>
        <v>GENESIS DIEGO</v>
      </c>
      <c r="H279" s="22">
        <v>46076</v>
      </c>
      <c r="I279" s="17" t="s">
        <v>152</v>
      </c>
      <c r="J279" s="17" t="s">
        <v>151</v>
      </c>
      <c r="K279" s="17" t="s">
        <v>39</v>
      </c>
      <c r="L279" s="17">
        <v>10000064</v>
      </c>
      <c r="M279" s="17" t="s">
        <v>211</v>
      </c>
      <c r="N279" s="17">
        <v>22297238</v>
      </c>
      <c r="O279" s="17" t="s">
        <v>735</v>
      </c>
      <c r="P279" s="17" t="s">
        <v>170</v>
      </c>
      <c r="Q279" s="17" t="s">
        <v>253</v>
      </c>
      <c r="R279" s="17" t="s">
        <v>735</v>
      </c>
      <c r="S279" s="17" t="s">
        <v>147</v>
      </c>
      <c r="T279" s="17" t="s">
        <v>169</v>
      </c>
      <c r="U279" s="17" t="s">
        <v>251</v>
      </c>
      <c r="V279" s="17" t="s">
        <v>734</v>
      </c>
      <c r="W279" s="17" t="s">
        <v>332</v>
      </c>
    </row>
    <row r="280" spans="1:23" x14ac:dyDescent="0.45">
      <c r="A280" s="17" t="s">
        <v>254</v>
      </c>
      <c r="B280" s="22">
        <v>46060</v>
      </c>
      <c r="C280" s="17">
        <v>151340227</v>
      </c>
      <c r="D280" s="26">
        <f>IFERROR(SUMIF(Servicios_Promotores!$B:$B,C280,Servicios_Promotores!$R:$R),0)</f>
        <v>0</v>
      </c>
      <c r="E280" s="26">
        <f>IFERROR(SUMIF(Pago_GERE!$B:$B,C280,Pago_GERE!$R:$R),0)</f>
        <v>0</v>
      </c>
      <c r="F280" s="26">
        <f>IFERROR(SUMIF(Hoja2!$H:$H,C280,Hoja2!$U:$U),0)</f>
        <v>949</v>
      </c>
      <c r="G280" s="17" t="str">
        <f>IFERROR(VLOOKUP(C280,Hoja3!$C:$D,2,FALSE),"")</f>
        <v>GENESIS DIEGO</v>
      </c>
      <c r="H280" s="22">
        <v>46065</v>
      </c>
      <c r="I280" s="17" t="s">
        <v>163</v>
      </c>
      <c r="J280" s="17" t="s">
        <v>151</v>
      </c>
      <c r="K280" s="17" t="s">
        <v>36</v>
      </c>
      <c r="L280" s="17">
        <v>10000064</v>
      </c>
      <c r="M280" s="17" t="s">
        <v>211</v>
      </c>
      <c r="N280" s="17">
        <v>22225190</v>
      </c>
      <c r="O280" s="17" t="s">
        <v>730</v>
      </c>
      <c r="P280" s="17" t="s">
        <v>403</v>
      </c>
      <c r="Q280" s="17" t="s">
        <v>253</v>
      </c>
      <c r="R280" s="17" t="s">
        <v>730</v>
      </c>
      <c r="S280" s="17" t="s">
        <v>147</v>
      </c>
      <c r="T280" s="17" t="s">
        <v>173</v>
      </c>
      <c r="U280" s="17" t="s">
        <v>251</v>
      </c>
      <c r="V280" s="17" t="s">
        <v>729</v>
      </c>
      <c r="W280" s="17" t="s">
        <v>728</v>
      </c>
    </row>
    <row r="281" spans="1:23" x14ac:dyDescent="0.45">
      <c r="A281" s="17" t="s">
        <v>254</v>
      </c>
      <c r="B281" s="22">
        <v>46058</v>
      </c>
      <c r="C281" s="17">
        <v>151336409</v>
      </c>
      <c r="D281" s="26">
        <f>IFERROR(SUMIF(Servicios_Promotores!$B:$B,C281,Servicios_Promotores!$R:$R),0)</f>
        <v>0</v>
      </c>
      <c r="E281" s="26">
        <f>IFERROR(SUMIF(Pago_GERE!$B:$B,C281,Pago_GERE!$R:$R),0)</f>
        <v>0</v>
      </c>
      <c r="F281" s="26">
        <f>IFERROR(SUMIF(Hoja2!$H:$H,C281,Hoja2!$U:$U),0)</f>
        <v>0</v>
      </c>
      <c r="G281" s="17" t="str">
        <f>IFERROR(VLOOKUP(C281,Hoja3!$C:$D,2,FALSE),"")</f>
        <v>GENESIS DIEGO</v>
      </c>
      <c r="H281" s="22">
        <v>46059</v>
      </c>
      <c r="I281" s="17" t="s">
        <v>152</v>
      </c>
      <c r="J281" s="17" t="s">
        <v>151</v>
      </c>
      <c r="K281" s="17" t="s">
        <v>31</v>
      </c>
      <c r="L281" s="17">
        <v>10000064</v>
      </c>
      <c r="M281" s="17" t="s">
        <v>211</v>
      </c>
      <c r="N281" s="17">
        <v>22191301</v>
      </c>
      <c r="O281" s="17" t="s">
        <v>718</v>
      </c>
      <c r="P281" s="17" t="s">
        <v>179</v>
      </c>
      <c r="Q281" s="17" t="s">
        <v>253</v>
      </c>
      <c r="R281" s="17" t="s">
        <v>718</v>
      </c>
      <c r="S281" s="17" t="s">
        <v>147</v>
      </c>
      <c r="T281" s="17" t="s">
        <v>178</v>
      </c>
      <c r="U281" s="17" t="s">
        <v>251</v>
      </c>
      <c r="V281" s="17" t="s">
        <v>563</v>
      </c>
      <c r="W281" s="17" t="s">
        <v>175</v>
      </c>
    </row>
    <row r="282" spans="1:23" x14ac:dyDescent="0.45">
      <c r="A282" s="17" t="s">
        <v>254</v>
      </c>
      <c r="B282" s="22">
        <v>46058</v>
      </c>
      <c r="C282" s="17">
        <v>151336320</v>
      </c>
      <c r="D282" s="26">
        <f>IFERROR(SUMIF(Servicios_Promotores!$B:$B,C282,Servicios_Promotores!$R:$R),0)</f>
        <v>49.999999998</v>
      </c>
      <c r="E282" s="26">
        <f>IFERROR(SUMIF(Pago_GERE!$B:$B,C282,Pago_GERE!$R:$R),0)</f>
        <v>0</v>
      </c>
      <c r="F282" s="26">
        <f>IFERROR(SUMIF(Hoja2!$H:$H,C282,Hoja2!$U:$U),0)</f>
        <v>0</v>
      </c>
      <c r="G282" s="17" t="str">
        <f>IFERROR(VLOOKUP(C282,Hoja3!$C:$D,2,FALSE),"")</f>
        <v>GENESIS DIEGO</v>
      </c>
      <c r="H282" s="22">
        <v>46065</v>
      </c>
      <c r="I282" s="17" t="s">
        <v>197</v>
      </c>
      <c r="J282" s="17" t="s">
        <v>151</v>
      </c>
      <c r="K282" s="17" t="s">
        <v>39</v>
      </c>
      <c r="L282" s="17">
        <v>10000064</v>
      </c>
      <c r="M282" s="17" t="s">
        <v>211</v>
      </c>
      <c r="N282" s="17">
        <v>22191236</v>
      </c>
      <c r="O282" s="17" t="s">
        <v>713</v>
      </c>
      <c r="P282" s="17" t="s">
        <v>170</v>
      </c>
      <c r="Q282" s="17" t="s">
        <v>253</v>
      </c>
      <c r="R282" s="17" t="s">
        <v>713</v>
      </c>
      <c r="S282" s="17" t="s">
        <v>147</v>
      </c>
      <c r="T282" s="17" t="s">
        <v>169</v>
      </c>
      <c r="U282" s="17" t="s">
        <v>251</v>
      </c>
      <c r="V282" s="17" t="s">
        <v>712</v>
      </c>
      <c r="W282" s="17" t="s">
        <v>275</v>
      </c>
    </row>
    <row r="283" spans="1:23" x14ac:dyDescent="0.45">
      <c r="A283" s="17" t="s">
        <v>254</v>
      </c>
      <c r="B283" s="22">
        <v>46056</v>
      </c>
      <c r="C283" s="17">
        <v>151332451</v>
      </c>
      <c r="D283" s="26">
        <f>IFERROR(SUMIF(Servicios_Promotores!$B:$B,C283,Servicios_Promotores!$R:$R),0)</f>
        <v>0</v>
      </c>
      <c r="E283" s="26">
        <f>IFERROR(SUMIF(Pago_GERE!$B:$B,C283,Pago_GERE!$R:$R),0)</f>
        <v>0</v>
      </c>
      <c r="F283" s="26">
        <f>IFERROR(SUMIF(Hoja2!$H:$H,C283,Hoja2!$U:$U),0)</f>
        <v>0</v>
      </c>
      <c r="G283" s="17" t="str">
        <f>IFERROR(VLOOKUP(C283,Hoja3!$C:$D,2,FALSE),"")</f>
        <v>GENESIS DIEGO</v>
      </c>
      <c r="H283" s="22">
        <v>46067</v>
      </c>
      <c r="I283" s="17" t="s">
        <v>197</v>
      </c>
      <c r="J283" s="17" t="s">
        <v>165</v>
      </c>
      <c r="K283" s="17" t="s">
        <v>31</v>
      </c>
      <c r="L283" s="17">
        <v>10000064</v>
      </c>
      <c r="M283" s="17" t="s">
        <v>211</v>
      </c>
      <c r="N283" s="17">
        <v>22367588</v>
      </c>
      <c r="O283" s="17" t="s">
        <v>698</v>
      </c>
      <c r="P283" s="17" t="s">
        <v>179</v>
      </c>
      <c r="Q283" s="17" t="s">
        <v>253</v>
      </c>
      <c r="R283" s="17" t="s">
        <v>698</v>
      </c>
      <c r="S283" s="17" t="s">
        <v>147</v>
      </c>
      <c r="T283" s="17" t="s">
        <v>178</v>
      </c>
      <c r="U283" s="17" t="s">
        <v>251</v>
      </c>
      <c r="V283" s="17" t="s">
        <v>581</v>
      </c>
      <c r="W283" s="17" t="s">
        <v>175</v>
      </c>
    </row>
    <row r="284" spans="1:23" x14ac:dyDescent="0.45">
      <c r="A284" s="17"/>
      <c r="B284" s="22">
        <v>46060</v>
      </c>
      <c r="C284" s="17">
        <v>151340271</v>
      </c>
      <c r="D284" s="26">
        <f>IFERROR(SUMIF(Servicios_Promotores!$B:$B,C284,Servicios_Promotores!$R:$R),0)</f>
        <v>0</v>
      </c>
      <c r="E284" s="26">
        <f>IFERROR(SUMIF(Pago_GERE!$B:$B,C284,Pago_GERE!$R:$R),0)</f>
        <v>0</v>
      </c>
      <c r="F284" s="26">
        <f>IFERROR(SUMIF(Hoja2!$H:$H,C284,Hoja2!$U:$U),0)</f>
        <v>0</v>
      </c>
      <c r="G284" s="17" t="str">
        <f>IFERROR(VLOOKUP(C284,Hoja3!$C:$D,2,FALSE),"")</f>
        <v>GENESIS DIEGO</v>
      </c>
      <c r="H284" s="17"/>
      <c r="I284" s="17" t="s">
        <v>209</v>
      </c>
      <c r="J284" s="17" t="s">
        <v>165</v>
      </c>
      <c r="K284" s="17" t="s">
        <v>39</v>
      </c>
      <c r="L284" s="17">
        <v>10000064</v>
      </c>
      <c r="M284" s="17" t="s">
        <v>211</v>
      </c>
      <c r="N284" s="17">
        <v>151340271</v>
      </c>
      <c r="O284" s="17" t="s">
        <v>212</v>
      </c>
      <c r="P284" s="17" t="s">
        <v>170</v>
      </c>
      <c r="Q284" s="17"/>
      <c r="R284" s="17"/>
      <c r="S284" s="17" t="s">
        <v>147</v>
      </c>
      <c r="T284" s="17" t="s">
        <v>169</v>
      </c>
      <c r="U284" s="17" t="s">
        <v>182</v>
      </c>
      <c r="V284" s="17"/>
      <c r="W284" s="17"/>
    </row>
    <row r="285" spans="1:23" x14ac:dyDescent="0.45">
      <c r="A285" s="17"/>
      <c r="B285" s="22">
        <v>46058</v>
      </c>
      <c r="C285" s="17">
        <v>151336356</v>
      </c>
      <c r="D285" s="26">
        <f>IFERROR(SUMIF(Servicios_Promotores!$B:$B,C285,Servicios_Promotores!$R:$R),0)</f>
        <v>0</v>
      </c>
      <c r="E285" s="26">
        <f>IFERROR(SUMIF(Pago_GERE!$B:$B,C285,Pago_GERE!$R:$R),0)</f>
        <v>0</v>
      </c>
      <c r="F285" s="26">
        <f>IFERROR(SUMIF(Hoja2!$H:$H,C285,Hoja2!$U:$U),0)</f>
        <v>0</v>
      </c>
      <c r="G285" s="17" t="str">
        <f>IFERROR(VLOOKUP(C285,Hoja3!$C:$D,2,FALSE),"")</f>
        <v>GENESIS DIEGO</v>
      </c>
      <c r="H285" s="17"/>
      <c r="I285" s="17" t="s">
        <v>204</v>
      </c>
      <c r="J285" s="17" t="s">
        <v>151</v>
      </c>
      <c r="K285" s="17" t="s">
        <v>39</v>
      </c>
      <c r="L285" s="17">
        <v>10000064</v>
      </c>
      <c r="M285" s="17" t="s">
        <v>211</v>
      </c>
      <c r="N285" s="17">
        <v>151336356</v>
      </c>
      <c r="O285" s="17"/>
      <c r="P285" s="17" t="s">
        <v>170</v>
      </c>
      <c r="Q285" s="17"/>
      <c r="R285" s="17"/>
      <c r="S285" s="17" t="s">
        <v>155</v>
      </c>
      <c r="T285" s="17" t="s">
        <v>169</v>
      </c>
      <c r="U285" s="17" t="s">
        <v>145</v>
      </c>
      <c r="V285" s="17" t="s">
        <v>210</v>
      </c>
      <c r="W285" s="17"/>
    </row>
    <row r="286" spans="1:23" x14ac:dyDescent="0.45">
      <c r="A286" s="17" t="s">
        <v>1065</v>
      </c>
      <c r="B286" s="22">
        <v>46063</v>
      </c>
      <c r="C286" s="17">
        <v>151344718</v>
      </c>
      <c r="D286" s="26">
        <f>IFERROR(SUMIF(Servicios_Promotores!$B:$B,C286,Servicios_Promotores!$R:$R),0)</f>
        <v>0</v>
      </c>
      <c r="E286" s="26">
        <f>IFERROR(SUMIF(Pago_GERE!$B:$B,C286,Pago_GERE!$R:$R),0)</f>
        <v>0</v>
      </c>
      <c r="F286" s="26">
        <f>IFERROR(SUMIF(Hoja2!$H:$H,C286,Hoja2!$U:$U),0)</f>
        <v>0</v>
      </c>
      <c r="G286" s="17" t="str">
        <f>IFERROR(VLOOKUP(C286,Hoja3!$C:$D,2,FALSE),"")</f>
        <v>GENESIS DIEGO</v>
      </c>
      <c r="H286" s="17"/>
      <c r="I286" s="17" t="s">
        <v>152</v>
      </c>
      <c r="J286" s="17" t="s">
        <v>151</v>
      </c>
      <c r="K286" s="17" t="s">
        <v>1115</v>
      </c>
      <c r="L286" s="17">
        <v>10001013</v>
      </c>
      <c r="M286" s="17" t="s">
        <v>183</v>
      </c>
      <c r="N286" s="17">
        <v>22290858</v>
      </c>
      <c r="O286" s="17" t="s">
        <v>1066</v>
      </c>
      <c r="P286" s="17" t="s">
        <v>1114</v>
      </c>
      <c r="Q286" s="17" t="s">
        <v>1064</v>
      </c>
      <c r="R286" s="17" t="s">
        <v>1066</v>
      </c>
      <c r="S286" s="17" t="s">
        <v>147</v>
      </c>
      <c r="T286" s="17" t="s">
        <v>1113</v>
      </c>
      <c r="U286" s="17" t="s">
        <v>251</v>
      </c>
      <c r="V286" s="17" t="s">
        <v>210</v>
      </c>
      <c r="W286" s="17"/>
    </row>
    <row r="287" spans="1:23" x14ac:dyDescent="0.45">
      <c r="A287" s="17" t="s">
        <v>1065</v>
      </c>
      <c r="B287" s="22">
        <v>46057</v>
      </c>
      <c r="C287" s="17">
        <v>151334508</v>
      </c>
      <c r="D287" s="26">
        <f>IFERROR(SUMIF(Servicios_Promotores!$B:$B,C287,Servicios_Promotores!$R:$R),0)</f>
        <v>0</v>
      </c>
      <c r="E287" s="26">
        <f>IFERROR(SUMIF(Pago_GERE!$B:$B,C287,Pago_GERE!$R:$R),0)</f>
        <v>0</v>
      </c>
      <c r="F287" s="26">
        <f>IFERROR(SUMIF(Hoja2!$H:$H,C287,Hoja2!$U:$U),0)</f>
        <v>0</v>
      </c>
      <c r="G287" s="17" t="str">
        <f>IFERROR(VLOOKUP(C287,Hoja3!$C:$D,2,FALSE),"")</f>
        <v>GENESIS DIEGO</v>
      </c>
      <c r="H287" s="17"/>
      <c r="I287" s="17" t="s">
        <v>163</v>
      </c>
      <c r="J287" s="17" t="s">
        <v>151</v>
      </c>
      <c r="K287" s="17" t="s">
        <v>45</v>
      </c>
      <c r="L287" s="17">
        <v>10001013</v>
      </c>
      <c r="M287" s="17" t="s">
        <v>183</v>
      </c>
      <c r="N287" s="17">
        <v>22292815</v>
      </c>
      <c r="O287" s="17" t="s">
        <v>1111</v>
      </c>
      <c r="P287" s="17" t="s">
        <v>309</v>
      </c>
      <c r="Q287" s="17" t="s">
        <v>1064</v>
      </c>
      <c r="R287" s="17" t="s">
        <v>1111</v>
      </c>
      <c r="S287" s="17" t="s">
        <v>147</v>
      </c>
      <c r="T287" s="17" t="s">
        <v>307</v>
      </c>
      <c r="U287" s="17" t="s">
        <v>251</v>
      </c>
      <c r="V287" s="17" t="s">
        <v>210</v>
      </c>
      <c r="W287" s="17"/>
    </row>
    <row r="288" spans="1:23" x14ac:dyDescent="0.45">
      <c r="A288" s="17" t="s">
        <v>254</v>
      </c>
      <c r="B288" s="22">
        <v>46060</v>
      </c>
      <c r="C288" s="17">
        <v>151340019</v>
      </c>
      <c r="D288" s="26">
        <f>IFERROR(SUMIF(Servicios_Promotores!$B:$B,C288,Servicios_Promotores!$R:$R),0)</f>
        <v>75.000000009999994</v>
      </c>
      <c r="E288" s="26">
        <f>IFERROR(SUMIF(Pago_GERE!$B:$B,C288,Pago_GERE!$R:$R),0)</f>
        <v>75.000000009999994</v>
      </c>
      <c r="F288" s="26">
        <f>IFERROR(SUMIF(Hoja2!$H:$H,C288,Hoja2!$U:$U),0)</f>
        <v>0</v>
      </c>
      <c r="G288" s="17" t="str">
        <f>IFERROR(VLOOKUP(C288,Hoja3!$C:$D,2,FALSE),"")</f>
        <v>GENESIS DIEGO</v>
      </c>
      <c r="H288" s="22">
        <v>46062</v>
      </c>
      <c r="I288" s="17" t="s">
        <v>152</v>
      </c>
      <c r="J288" s="17" t="s">
        <v>151</v>
      </c>
      <c r="K288" s="17" t="s">
        <v>42</v>
      </c>
      <c r="L288" s="17">
        <v>10001013</v>
      </c>
      <c r="M288" s="17" t="s">
        <v>183</v>
      </c>
      <c r="N288" s="17">
        <v>22241475</v>
      </c>
      <c r="O288" s="17" t="s">
        <v>731</v>
      </c>
      <c r="P288" s="17" t="s">
        <v>192</v>
      </c>
      <c r="Q288" s="17" t="s">
        <v>253</v>
      </c>
      <c r="R288" s="17" t="s">
        <v>731</v>
      </c>
      <c r="S288" s="17" t="s">
        <v>147</v>
      </c>
      <c r="T288" s="17" t="s">
        <v>146</v>
      </c>
      <c r="U288" s="17" t="s">
        <v>251</v>
      </c>
      <c r="V288" s="17" t="s">
        <v>726</v>
      </c>
      <c r="W288" s="17" t="s">
        <v>725</v>
      </c>
    </row>
    <row r="289" spans="1:23" x14ac:dyDescent="0.45">
      <c r="A289" s="17" t="s">
        <v>254</v>
      </c>
      <c r="B289" s="22">
        <v>46059</v>
      </c>
      <c r="C289" s="17">
        <v>151337890</v>
      </c>
      <c r="D289" s="26">
        <f>IFERROR(SUMIF(Servicios_Promotores!$B:$B,C289,Servicios_Promotores!$R:$R),0)</f>
        <v>49.999999998</v>
      </c>
      <c r="E289" s="26">
        <f>IFERROR(SUMIF(Pago_GERE!$B:$B,C289,Pago_GERE!$R:$R),0)</f>
        <v>49.999999998</v>
      </c>
      <c r="F289" s="26">
        <f>IFERROR(SUMIF(Hoja2!$H:$H,C289,Hoja2!$U:$U),0)</f>
        <v>898</v>
      </c>
      <c r="G289" s="17" t="str">
        <f>IFERROR(VLOOKUP(C289,Hoja3!$C:$D,2,FALSE),"")</f>
        <v>GENESIS DIEGO</v>
      </c>
      <c r="H289" s="22">
        <v>46060</v>
      </c>
      <c r="I289" s="17" t="s">
        <v>163</v>
      </c>
      <c r="J289" s="17" t="s">
        <v>151</v>
      </c>
      <c r="K289" s="17" t="s">
        <v>55</v>
      </c>
      <c r="L289" s="17">
        <v>10001013</v>
      </c>
      <c r="M289" s="17" t="s">
        <v>183</v>
      </c>
      <c r="N289" s="17">
        <v>22198919</v>
      </c>
      <c r="O289" s="17" t="s">
        <v>723</v>
      </c>
      <c r="P289" s="17" t="s">
        <v>724</v>
      </c>
      <c r="Q289" s="17" t="s">
        <v>253</v>
      </c>
      <c r="R289" s="17" t="s">
        <v>723</v>
      </c>
      <c r="S289" s="17" t="s">
        <v>147</v>
      </c>
      <c r="T289" s="17" t="s">
        <v>257</v>
      </c>
      <c r="U289" s="17" t="s">
        <v>251</v>
      </c>
      <c r="V289" s="17" t="s">
        <v>722</v>
      </c>
      <c r="W289" s="17" t="s">
        <v>721</v>
      </c>
    </row>
    <row r="290" spans="1:23" x14ac:dyDescent="0.45">
      <c r="A290" s="17" t="s">
        <v>254</v>
      </c>
      <c r="B290" s="22">
        <v>46058</v>
      </c>
      <c r="C290" s="17">
        <v>151336813</v>
      </c>
      <c r="D290" s="26">
        <f>IFERROR(SUMIF(Servicios_Promotores!$B:$B,C290,Servicios_Promotores!$R:$R),0)</f>
        <v>0</v>
      </c>
      <c r="E290" s="26">
        <f>IFERROR(SUMIF(Pago_GERE!$B:$B,C290,Pago_GERE!$R:$R),0)</f>
        <v>0</v>
      </c>
      <c r="F290" s="26">
        <f>IFERROR(SUMIF(Hoja2!$H:$H,C290,Hoja2!$U:$U),0)</f>
        <v>0</v>
      </c>
      <c r="G290" s="17" t="str">
        <f>IFERROR(VLOOKUP(C290,Hoja3!$C:$D,2,FALSE),"")</f>
        <v>GENESIS DIEGO</v>
      </c>
      <c r="H290" s="22">
        <v>46060</v>
      </c>
      <c r="I290" s="17" t="s">
        <v>163</v>
      </c>
      <c r="J290" s="17" t="s">
        <v>151</v>
      </c>
      <c r="K290" s="17" t="s">
        <v>55</v>
      </c>
      <c r="L290" s="17">
        <v>10001013</v>
      </c>
      <c r="M290" s="17" t="s">
        <v>183</v>
      </c>
      <c r="N290" s="17">
        <v>22188406</v>
      </c>
      <c r="O290" s="17" t="s">
        <v>720</v>
      </c>
      <c r="P290" s="17" t="s">
        <v>221</v>
      </c>
      <c r="Q290" s="17" t="s">
        <v>253</v>
      </c>
      <c r="R290" s="17" t="s">
        <v>720</v>
      </c>
      <c r="S290" s="17" t="s">
        <v>147</v>
      </c>
      <c r="T290" s="17" t="s">
        <v>55</v>
      </c>
      <c r="U290" s="17" t="s">
        <v>251</v>
      </c>
      <c r="V290" s="17" t="s">
        <v>719</v>
      </c>
      <c r="W290" s="17" t="s">
        <v>249</v>
      </c>
    </row>
    <row r="291" spans="1:23" x14ac:dyDescent="0.45">
      <c r="A291" s="17" t="s">
        <v>254</v>
      </c>
      <c r="B291" s="22">
        <v>46058</v>
      </c>
      <c r="C291" s="17">
        <v>151336622</v>
      </c>
      <c r="D291" s="26">
        <f>IFERROR(SUMIF(Servicios_Promotores!$B:$B,C291,Servicios_Promotores!$R:$R),0)</f>
        <v>0</v>
      </c>
      <c r="E291" s="26">
        <f>IFERROR(SUMIF(Pago_GERE!$B:$B,C291,Pago_GERE!$R:$R),0)</f>
        <v>0</v>
      </c>
      <c r="F291" s="26">
        <f>IFERROR(SUMIF(Hoja2!$H:$H,C291,Hoja2!$U:$U),0)</f>
        <v>0</v>
      </c>
      <c r="G291" s="17" t="str">
        <f>IFERROR(VLOOKUP(C291,Hoja3!$C:$D,2,FALSE),"")</f>
        <v>GENESIS DIEGO</v>
      </c>
      <c r="H291" s="22">
        <v>46059</v>
      </c>
      <c r="I291" s="17" t="s">
        <v>152</v>
      </c>
      <c r="J291" s="17" t="s">
        <v>151</v>
      </c>
      <c r="K291" s="17" t="s">
        <v>36</v>
      </c>
      <c r="L291" s="17">
        <v>10001013</v>
      </c>
      <c r="M291" s="17" t="s">
        <v>183</v>
      </c>
      <c r="N291" s="17">
        <v>22187375</v>
      </c>
      <c r="O291" s="17" t="s">
        <v>711</v>
      </c>
      <c r="P291" s="17" t="s">
        <v>174</v>
      </c>
      <c r="Q291" s="17" t="s">
        <v>253</v>
      </c>
      <c r="R291" s="17" t="s">
        <v>711</v>
      </c>
      <c r="S291" s="17" t="s">
        <v>147</v>
      </c>
      <c r="T291" s="17" t="s">
        <v>173</v>
      </c>
      <c r="U291" s="17" t="s">
        <v>251</v>
      </c>
      <c r="V291" s="17" t="s">
        <v>439</v>
      </c>
      <c r="W291" s="17" t="s">
        <v>438</v>
      </c>
    </row>
    <row r="292" spans="1:23" x14ac:dyDescent="0.45">
      <c r="A292" s="17" t="s">
        <v>254</v>
      </c>
      <c r="B292" s="22">
        <v>46057</v>
      </c>
      <c r="C292" s="17">
        <v>151334579</v>
      </c>
      <c r="D292" s="26">
        <f>IFERROR(SUMIF(Servicios_Promotores!$B:$B,C292,Servicios_Promotores!$R:$R),0)</f>
        <v>0</v>
      </c>
      <c r="E292" s="26">
        <f>IFERROR(SUMIF(Pago_GERE!$B:$B,C292,Pago_GERE!$R:$R),0)</f>
        <v>0</v>
      </c>
      <c r="F292" s="26">
        <f>IFERROR(SUMIF(Hoja2!$H:$H,C292,Hoja2!$U:$U),0)</f>
        <v>0</v>
      </c>
      <c r="G292" s="17" t="str">
        <f>IFERROR(VLOOKUP(C292,Hoja3!$C:$D,2,FALSE),"")</f>
        <v>GENESIS DIEGO</v>
      </c>
      <c r="H292" s="22">
        <v>46060</v>
      </c>
      <c r="I292" s="17" t="s">
        <v>152</v>
      </c>
      <c r="J292" s="17" t="s">
        <v>165</v>
      </c>
      <c r="K292" s="17" t="s">
        <v>36</v>
      </c>
      <c r="L292" s="17">
        <v>10001013</v>
      </c>
      <c r="M292" s="17" t="s">
        <v>183</v>
      </c>
      <c r="N292" s="17">
        <v>22166707</v>
      </c>
      <c r="O292" s="17" t="s">
        <v>706</v>
      </c>
      <c r="P292" s="17" t="s">
        <v>403</v>
      </c>
      <c r="Q292" s="17" t="s">
        <v>253</v>
      </c>
      <c r="R292" s="17" t="s">
        <v>706</v>
      </c>
      <c r="S292" s="17" t="s">
        <v>147</v>
      </c>
      <c r="T292" s="17" t="s">
        <v>173</v>
      </c>
      <c r="U292" s="17" t="s">
        <v>251</v>
      </c>
      <c r="V292" s="17" t="s">
        <v>704</v>
      </c>
      <c r="W292" s="17" t="s">
        <v>703</v>
      </c>
    </row>
    <row r="293" spans="1:23" x14ac:dyDescent="0.45">
      <c r="A293" s="17" t="s">
        <v>254</v>
      </c>
      <c r="B293" s="22">
        <v>46056</v>
      </c>
      <c r="C293" s="17">
        <v>151332514</v>
      </c>
      <c r="D293" s="26">
        <f>IFERROR(SUMIF(Servicios_Promotores!$B:$B,C293,Servicios_Promotores!$R:$R),0)</f>
        <v>0</v>
      </c>
      <c r="E293" s="26">
        <f>IFERROR(SUMIF(Pago_GERE!$B:$B,C293,Pago_GERE!$R:$R),0)</f>
        <v>0</v>
      </c>
      <c r="F293" s="26">
        <f>IFERROR(SUMIF(Hoja2!$H:$H,C293,Hoja2!$U:$U),0)</f>
        <v>0</v>
      </c>
      <c r="G293" s="17" t="str">
        <f>IFERROR(VLOOKUP(C293,Hoja3!$C:$D,2,FALSE),"")</f>
        <v>GENESIS DIEGO</v>
      </c>
      <c r="H293" s="22">
        <v>46059</v>
      </c>
      <c r="I293" s="17" t="s">
        <v>163</v>
      </c>
      <c r="J293" s="17" t="s">
        <v>151</v>
      </c>
      <c r="K293" s="17" t="s">
        <v>55</v>
      </c>
      <c r="L293" s="17">
        <v>10001013</v>
      </c>
      <c r="M293" s="17" t="s">
        <v>183</v>
      </c>
      <c r="N293" s="17">
        <v>22129580</v>
      </c>
      <c r="O293" s="17" t="s">
        <v>697</v>
      </c>
      <c r="P293" s="17" t="s">
        <v>221</v>
      </c>
      <c r="Q293" s="17" t="s">
        <v>253</v>
      </c>
      <c r="R293" s="17" t="s">
        <v>697</v>
      </c>
      <c r="S293" s="17" t="s">
        <v>147</v>
      </c>
      <c r="T293" s="17" t="s">
        <v>55</v>
      </c>
      <c r="U293" s="17" t="s">
        <v>251</v>
      </c>
      <c r="V293" s="17" t="s">
        <v>696</v>
      </c>
      <c r="W293" s="17" t="s">
        <v>441</v>
      </c>
    </row>
    <row r="294" spans="1:23" x14ac:dyDescent="0.45">
      <c r="A294" s="17" t="s">
        <v>254</v>
      </c>
      <c r="B294" s="22">
        <v>46112</v>
      </c>
      <c r="C294" s="17">
        <v>151433451</v>
      </c>
      <c r="D294" s="26">
        <f>IFERROR(SUMIF(Servicios_Promotores!$B:$B,C294,Servicios_Promotores!$R:$R),0)</f>
        <v>262.99999998999999</v>
      </c>
      <c r="E294" s="26">
        <f>IFERROR(SUMIF(Pago_GERE!$B:$B,C294,Pago_GERE!$R:$R),0)</f>
        <v>187.00000001799998</v>
      </c>
      <c r="F294" s="26">
        <f>IFERROR(SUMIF(Hoja2!$H:$H,C294,Hoja2!$U:$U),0)</f>
        <v>0</v>
      </c>
      <c r="G294" s="17" t="str">
        <f>IFERROR(VLOOKUP(C294,Hoja3!$C:$D,2,FALSE),"")</f>
        <v>GENESIS DIEGO</v>
      </c>
      <c r="H294" s="22">
        <v>46114</v>
      </c>
      <c r="I294" s="17" t="s">
        <v>209</v>
      </c>
      <c r="J294" s="17" t="s">
        <v>165</v>
      </c>
      <c r="K294" s="17" t="s">
        <v>39</v>
      </c>
      <c r="L294" s="17">
        <v>10001013</v>
      </c>
      <c r="M294" s="17" t="s">
        <v>183</v>
      </c>
      <c r="N294" s="17">
        <v>23999401</v>
      </c>
      <c r="O294" s="17" t="s">
        <v>685</v>
      </c>
      <c r="P294" s="17" t="s">
        <v>170</v>
      </c>
      <c r="Q294" s="17" t="s">
        <v>253</v>
      </c>
      <c r="R294" s="17" t="s">
        <v>685</v>
      </c>
      <c r="S294" s="17" t="s">
        <v>147</v>
      </c>
      <c r="T294" s="17" t="s">
        <v>169</v>
      </c>
      <c r="U294" s="17" t="s">
        <v>251</v>
      </c>
      <c r="V294" s="17" t="s">
        <v>684</v>
      </c>
      <c r="W294" s="17" t="s">
        <v>683</v>
      </c>
    </row>
    <row r="295" spans="1:23" x14ac:dyDescent="0.45">
      <c r="A295" s="17" t="s">
        <v>254</v>
      </c>
      <c r="B295" s="22">
        <v>46108</v>
      </c>
      <c r="C295" s="17">
        <v>151428398</v>
      </c>
      <c r="D295" s="26">
        <f>IFERROR(SUMIF(Servicios_Promotores!$B:$B,C295,Servicios_Promotores!$R:$R),0)</f>
        <v>262.99999998999999</v>
      </c>
      <c r="E295" s="26">
        <f>IFERROR(SUMIF(Pago_GERE!$B:$B,C295,Pago_GERE!$R:$R),0)</f>
        <v>187.00000001799998</v>
      </c>
      <c r="F295" s="26">
        <f>IFERROR(SUMIF(Hoja2!$H:$H,C295,Hoja2!$U:$U),0)</f>
        <v>1390</v>
      </c>
      <c r="G295" s="17" t="str">
        <f>IFERROR(VLOOKUP(C295,Hoja3!$C:$D,2,FALSE),"")</f>
        <v>GENESIS DIEGO</v>
      </c>
      <c r="H295" s="22">
        <v>46111</v>
      </c>
      <c r="I295" s="17" t="s">
        <v>152</v>
      </c>
      <c r="J295" s="17" t="s">
        <v>151</v>
      </c>
      <c r="K295" s="17" t="s">
        <v>39</v>
      </c>
      <c r="L295" s="17">
        <v>10001013</v>
      </c>
      <c r="M295" s="17" t="s">
        <v>183</v>
      </c>
      <c r="N295" s="17">
        <v>23901714</v>
      </c>
      <c r="O295" s="17" t="s">
        <v>672</v>
      </c>
      <c r="P295" s="17" t="s">
        <v>170</v>
      </c>
      <c r="Q295" s="17" t="s">
        <v>253</v>
      </c>
      <c r="R295" s="17" t="s">
        <v>672</v>
      </c>
      <c r="S295" s="17" t="s">
        <v>147</v>
      </c>
      <c r="T295" s="17" t="s">
        <v>169</v>
      </c>
      <c r="U295" s="17" t="s">
        <v>251</v>
      </c>
      <c r="V295" s="17" t="s">
        <v>671</v>
      </c>
      <c r="W295" s="17" t="s">
        <v>670</v>
      </c>
    </row>
    <row r="296" spans="1:23" x14ac:dyDescent="0.45">
      <c r="A296" s="17" t="s">
        <v>254</v>
      </c>
      <c r="B296" s="22">
        <v>46091</v>
      </c>
      <c r="C296" s="17">
        <v>151396975</v>
      </c>
      <c r="D296" s="26">
        <f>IFERROR(SUMIF(Servicios_Promotores!$B:$B,C296,Servicios_Promotores!$R:$R),0)</f>
        <v>49.999999998</v>
      </c>
      <c r="E296" s="26">
        <f>IFERROR(SUMIF(Pago_GERE!$B:$B,C296,Pago_GERE!$R:$R),0)</f>
        <v>49.999999998</v>
      </c>
      <c r="F296" s="26">
        <f>IFERROR(SUMIF(Hoja2!$H:$H,C296,Hoja2!$U:$U),0)</f>
        <v>0</v>
      </c>
      <c r="G296" s="17" t="str">
        <f>IFERROR(VLOOKUP(C296,Hoja3!$C:$D,2,FALSE),"")</f>
        <v>GENESIS DIEGO</v>
      </c>
      <c r="H296" s="22">
        <v>46092</v>
      </c>
      <c r="I296" s="17" t="s">
        <v>152</v>
      </c>
      <c r="J296" s="17" t="s">
        <v>151</v>
      </c>
      <c r="K296" s="17" t="s">
        <v>39</v>
      </c>
      <c r="L296" s="17">
        <v>10001013</v>
      </c>
      <c r="M296" s="17" t="s">
        <v>183</v>
      </c>
      <c r="N296" s="17">
        <v>22937631</v>
      </c>
      <c r="O296" s="17" t="s">
        <v>602</v>
      </c>
      <c r="P296" s="17" t="s">
        <v>170</v>
      </c>
      <c r="Q296" s="17" t="s">
        <v>253</v>
      </c>
      <c r="R296" s="17" t="s">
        <v>602</v>
      </c>
      <c r="S296" s="17" t="s">
        <v>147</v>
      </c>
      <c r="T296" s="17" t="s">
        <v>169</v>
      </c>
      <c r="U296" s="17" t="s">
        <v>251</v>
      </c>
      <c r="V296" s="17" t="s">
        <v>601</v>
      </c>
      <c r="W296" s="17" t="s">
        <v>600</v>
      </c>
    </row>
    <row r="297" spans="1:23" x14ac:dyDescent="0.45">
      <c r="A297" s="17" t="s">
        <v>254</v>
      </c>
      <c r="B297" s="22">
        <v>46085</v>
      </c>
      <c r="C297" s="17">
        <v>151386495</v>
      </c>
      <c r="D297" s="26">
        <f>IFERROR(SUMIF(Servicios_Promotores!$B:$B,C297,Servicios_Promotores!$R:$R),0)</f>
        <v>49.999999998</v>
      </c>
      <c r="E297" s="26">
        <f>IFERROR(SUMIF(Pago_GERE!$B:$B,C297,Pago_GERE!$R:$R),0)</f>
        <v>49.999999998</v>
      </c>
      <c r="F297" s="26">
        <f>IFERROR(SUMIF(Hoja2!$H:$H,C297,Hoja2!$U:$U),0)</f>
        <v>0</v>
      </c>
      <c r="G297" s="17" t="str">
        <f>IFERROR(VLOOKUP(C297,Hoja3!$C:$D,2,FALSE),"")</f>
        <v>GENESIS DIEGO</v>
      </c>
      <c r="H297" s="22">
        <v>46087</v>
      </c>
      <c r="I297" s="17" t="s">
        <v>152</v>
      </c>
      <c r="J297" s="17" t="s">
        <v>151</v>
      </c>
      <c r="K297" s="17" t="s">
        <v>42</v>
      </c>
      <c r="L297" s="17">
        <v>10001013</v>
      </c>
      <c r="M297" s="17" t="s">
        <v>183</v>
      </c>
      <c r="N297" s="17">
        <v>22782809</v>
      </c>
      <c r="O297" s="17" t="s">
        <v>562</v>
      </c>
      <c r="P297" s="17" t="s">
        <v>192</v>
      </c>
      <c r="Q297" s="17" t="s">
        <v>253</v>
      </c>
      <c r="R297" s="17" t="s">
        <v>562</v>
      </c>
      <c r="S297" s="17" t="s">
        <v>147</v>
      </c>
      <c r="T297" s="17" t="s">
        <v>146</v>
      </c>
      <c r="U297" s="17" t="s">
        <v>251</v>
      </c>
      <c r="V297" s="17" t="s">
        <v>561</v>
      </c>
      <c r="W297" s="17" t="s">
        <v>558</v>
      </c>
    </row>
    <row r="298" spans="1:23" x14ac:dyDescent="0.45">
      <c r="A298" s="17" t="s">
        <v>254</v>
      </c>
      <c r="B298" s="22">
        <v>46084</v>
      </c>
      <c r="C298" s="17">
        <v>151384579</v>
      </c>
      <c r="D298" s="26">
        <f>IFERROR(SUMIF(Servicios_Promotores!$B:$B,C298,Servicios_Promotores!$R:$R),0)</f>
        <v>0</v>
      </c>
      <c r="E298" s="26">
        <f>IFERROR(SUMIF(Pago_GERE!$B:$B,C298,Pago_GERE!$R:$R),0)</f>
        <v>0</v>
      </c>
      <c r="F298" s="26">
        <f>IFERROR(SUMIF(Hoja2!$H:$H,C298,Hoja2!$U:$U),0)</f>
        <v>533</v>
      </c>
      <c r="G298" s="17" t="str">
        <f>IFERROR(VLOOKUP(C298,Hoja3!$C:$D,2,FALSE),"")</f>
        <v>GENESIS DIEGO</v>
      </c>
      <c r="H298" s="22">
        <v>46094</v>
      </c>
      <c r="I298" s="17" t="s">
        <v>191</v>
      </c>
      <c r="J298" s="17" t="s">
        <v>165</v>
      </c>
      <c r="K298" s="17" t="s">
        <v>39</v>
      </c>
      <c r="L298" s="17">
        <v>10001013</v>
      </c>
      <c r="M298" s="17" t="s">
        <v>183</v>
      </c>
      <c r="N298" s="17">
        <v>23002263</v>
      </c>
      <c r="O298" s="17" t="s">
        <v>554</v>
      </c>
      <c r="P298" s="17" t="s">
        <v>160</v>
      </c>
      <c r="Q298" s="17" t="s">
        <v>253</v>
      </c>
      <c r="R298" s="17" t="s">
        <v>554</v>
      </c>
      <c r="S298" s="17" t="s">
        <v>155</v>
      </c>
      <c r="T298" s="17" t="s">
        <v>159</v>
      </c>
      <c r="U298" s="17" t="s">
        <v>251</v>
      </c>
      <c r="V298" s="17" t="s">
        <v>553</v>
      </c>
      <c r="W298" s="17" t="s">
        <v>552</v>
      </c>
    </row>
    <row r="299" spans="1:23" x14ac:dyDescent="0.45">
      <c r="A299" s="17" t="s">
        <v>254</v>
      </c>
      <c r="B299" s="22">
        <v>46084</v>
      </c>
      <c r="C299" s="17">
        <v>151384340</v>
      </c>
      <c r="D299" s="26">
        <f>IFERROR(SUMIF(Servicios_Promotores!$B:$B,C299,Servicios_Promotores!$R:$R),0)</f>
        <v>49.999999998</v>
      </c>
      <c r="E299" s="26">
        <f>IFERROR(SUMIF(Pago_GERE!$B:$B,C299,Pago_GERE!$R:$R),0)</f>
        <v>49.999999998</v>
      </c>
      <c r="F299" s="26">
        <f>IFERROR(SUMIF(Hoja2!$H:$H,C299,Hoja2!$U:$U),0)</f>
        <v>0</v>
      </c>
      <c r="G299" s="17" t="str">
        <f>IFERROR(VLOOKUP(C299,Hoja3!$C:$D,2,FALSE),"")</f>
        <v>GENESIS DIEGO</v>
      </c>
      <c r="H299" s="22">
        <v>46087</v>
      </c>
      <c r="I299" s="17" t="s">
        <v>152</v>
      </c>
      <c r="J299" s="17" t="s">
        <v>165</v>
      </c>
      <c r="K299" s="17" t="s">
        <v>42</v>
      </c>
      <c r="L299" s="17">
        <v>10001013</v>
      </c>
      <c r="M299" s="17" t="s">
        <v>183</v>
      </c>
      <c r="N299" s="17">
        <v>22820182</v>
      </c>
      <c r="O299" s="17" t="s">
        <v>538</v>
      </c>
      <c r="P299" s="17" t="s">
        <v>148</v>
      </c>
      <c r="Q299" s="17" t="s">
        <v>253</v>
      </c>
      <c r="R299" s="17" t="s">
        <v>538</v>
      </c>
      <c r="S299" s="17" t="s">
        <v>147</v>
      </c>
      <c r="T299" s="17" t="s">
        <v>146</v>
      </c>
      <c r="U299" s="17" t="s">
        <v>251</v>
      </c>
      <c r="V299" s="17" t="s">
        <v>537</v>
      </c>
      <c r="W299" s="17" t="s">
        <v>315</v>
      </c>
    </row>
    <row r="300" spans="1:23" x14ac:dyDescent="0.45">
      <c r="A300" s="17" t="s">
        <v>254</v>
      </c>
      <c r="B300" s="22">
        <v>46127</v>
      </c>
      <c r="C300" s="17">
        <v>151460750</v>
      </c>
      <c r="D300" s="26">
        <f>IFERROR(SUMIF(Servicios_Promotores!$B:$B,C300,Servicios_Promotores!$R:$R),0)</f>
        <v>262.99999998999999</v>
      </c>
      <c r="E300" s="26">
        <f>IFERROR(SUMIF(Pago_GERE!$B:$B,C300,Pago_GERE!$R:$R),0)</f>
        <v>187.00000001799998</v>
      </c>
      <c r="F300" s="26">
        <f>IFERROR(SUMIF(Hoja2!$H:$H,C300,Hoja2!$U:$U),0)</f>
        <v>0</v>
      </c>
      <c r="G300" s="17" t="str">
        <f>IFERROR(VLOOKUP(C300,Hoja3!$C:$D,2,FALSE),"")</f>
        <v>GENESIS DIEGO</v>
      </c>
      <c r="H300" s="22">
        <v>46130</v>
      </c>
      <c r="I300" s="17" t="s">
        <v>163</v>
      </c>
      <c r="J300" s="17" t="s">
        <v>151</v>
      </c>
      <c r="K300" s="17" t="s">
        <v>42</v>
      </c>
      <c r="L300" s="17">
        <v>10001013</v>
      </c>
      <c r="M300" s="17" t="s">
        <v>183</v>
      </c>
      <c r="N300" s="17">
        <v>24292780</v>
      </c>
      <c r="O300" s="17" t="s">
        <v>455</v>
      </c>
      <c r="P300" s="17" t="s">
        <v>148</v>
      </c>
      <c r="Q300" s="17" t="s">
        <v>253</v>
      </c>
      <c r="R300" s="17" t="s">
        <v>455</v>
      </c>
      <c r="S300" s="17" t="s">
        <v>147</v>
      </c>
      <c r="T300" s="17" t="s">
        <v>146</v>
      </c>
      <c r="U300" s="17" t="s">
        <v>251</v>
      </c>
      <c r="V300" s="17" t="s">
        <v>381</v>
      </c>
      <c r="W300" s="17" t="s">
        <v>324</v>
      </c>
    </row>
    <row r="301" spans="1:23" x14ac:dyDescent="0.45">
      <c r="A301" s="17" t="s">
        <v>254</v>
      </c>
      <c r="B301" s="22">
        <v>46122</v>
      </c>
      <c r="C301" s="17">
        <v>151451990</v>
      </c>
      <c r="D301" s="26">
        <f>IFERROR(SUMIF(Servicios_Promotores!$B:$B,C301,Servicios_Promotores!$R:$R),0)</f>
        <v>317.99999999299996</v>
      </c>
      <c r="E301" s="26">
        <f>IFERROR(SUMIF(Pago_GERE!$B:$B,C301,Pago_GERE!$R:$R),0)</f>
        <v>272.000000038</v>
      </c>
      <c r="F301" s="26">
        <f>IFERROR(SUMIF(Hoja2!$H:$H,C301,Hoja2!$U:$U),0)</f>
        <v>0</v>
      </c>
      <c r="G301" s="17" t="str">
        <f>IFERROR(VLOOKUP(C301,Hoja3!$C:$D,2,FALSE),"")</f>
        <v>GENESIS DIEGO</v>
      </c>
      <c r="H301" s="22">
        <v>46127</v>
      </c>
      <c r="I301" s="17" t="s">
        <v>152</v>
      </c>
      <c r="J301" s="17" t="s">
        <v>165</v>
      </c>
      <c r="K301" s="17" t="s">
        <v>62</v>
      </c>
      <c r="L301" s="17">
        <v>10001013</v>
      </c>
      <c r="M301" s="17" t="s">
        <v>183</v>
      </c>
      <c r="N301" s="17">
        <v>24193581</v>
      </c>
      <c r="O301" s="17" t="s">
        <v>446</v>
      </c>
      <c r="P301" s="17" t="s">
        <v>168</v>
      </c>
      <c r="Q301" s="17" t="s">
        <v>253</v>
      </c>
      <c r="R301" s="17" t="s">
        <v>446</v>
      </c>
      <c r="S301" s="17" t="s">
        <v>147</v>
      </c>
      <c r="T301" s="17" t="s">
        <v>167</v>
      </c>
      <c r="U301" s="17" t="s">
        <v>251</v>
      </c>
      <c r="V301" s="17" t="s">
        <v>445</v>
      </c>
      <c r="W301" s="17" t="s">
        <v>444</v>
      </c>
    </row>
    <row r="302" spans="1:23" x14ac:dyDescent="0.45">
      <c r="A302" s="17" t="s">
        <v>254</v>
      </c>
      <c r="B302" s="22">
        <v>46114</v>
      </c>
      <c r="C302" s="17">
        <v>151438772</v>
      </c>
      <c r="D302" s="26">
        <f>IFERROR(SUMIF(Servicios_Promotores!$B:$B,C302,Servicios_Promotores!$R:$R),0)</f>
        <v>334.66500000050002</v>
      </c>
      <c r="E302" s="26">
        <f>IFERROR(SUMIF(Pago_GERE!$B:$B,C302,Pago_GERE!$R:$R),0)</f>
        <v>258.66500002849995</v>
      </c>
      <c r="F302" s="26">
        <f>IFERROR(SUMIF(Hoja2!$H:$H,C302,Hoja2!$U:$U),0)</f>
        <v>0</v>
      </c>
      <c r="G302" s="17" t="str">
        <f>IFERROR(VLOOKUP(C302,Hoja3!$C:$D,2,FALSE),"")</f>
        <v>GENESIS DIEGO</v>
      </c>
      <c r="H302" s="22">
        <v>46118</v>
      </c>
      <c r="I302" s="17" t="s">
        <v>152</v>
      </c>
      <c r="J302" s="17" t="s">
        <v>165</v>
      </c>
      <c r="K302" s="17" t="s">
        <v>42</v>
      </c>
      <c r="L302" s="17">
        <v>10001013</v>
      </c>
      <c r="M302" s="17" t="s">
        <v>183</v>
      </c>
      <c r="N302" s="17">
        <v>24059074</v>
      </c>
      <c r="O302" s="17" t="s">
        <v>406</v>
      </c>
      <c r="P302" s="17" t="s">
        <v>367</v>
      </c>
      <c r="Q302" s="17" t="s">
        <v>253</v>
      </c>
      <c r="R302" s="17" t="s">
        <v>406</v>
      </c>
      <c r="S302" s="17" t="s">
        <v>147</v>
      </c>
      <c r="T302" s="17" t="s">
        <v>223</v>
      </c>
      <c r="U302" s="17" t="s">
        <v>251</v>
      </c>
      <c r="V302" s="17" t="s">
        <v>405</v>
      </c>
      <c r="W302" s="17" t="s">
        <v>404</v>
      </c>
    </row>
    <row r="303" spans="1:23" x14ac:dyDescent="0.45">
      <c r="A303" s="17"/>
      <c r="B303" s="22">
        <v>46060</v>
      </c>
      <c r="C303" s="17">
        <v>151339983</v>
      </c>
      <c r="D303" s="26">
        <f>IFERROR(SUMIF(Servicios_Promotores!$B:$B,C303,Servicios_Promotores!$R:$R),0)</f>
        <v>0</v>
      </c>
      <c r="E303" s="26">
        <f>IFERROR(SUMIF(Pago_GERE!$B:$B,C303,Pago_GERE!$R:$R),0)</f>
        <v>0</v>
      </c>
      <c r="F303" s="26">
        <f>IFERROR(SUMIF(Hoja2!$H:$H,C303,Hoja2!$U:$U),0)</f>
        <v>0</v>
      </c>
      <c r="G303" s="17" t="str">
        <f>IFERROR(VLOOKUP(C303,Hoja3!$C:$D,2,FALSE),"")</f>
        <v>GENESIS DIEGO</v>
      </c>
      <c r="H303" s="17"/>
      <c r="I303" s="17" t="s">
        <v>215</v>
      </c>
      <c r="J303" s="17" t="s">
        <v>151</v>
      </c>
      <c r="K303" s="17" t="s">
        <v>39</v>
      </c>
      <c r="L303" s="17">
        <v>10001013</v>
      </c>
      <c r="M303" s="17" t="s">
        <v>183</v>
      </c>
      <c r="N303" s="17">
        <v>151339983</v>
      </c>
      <c r="O303" s="17"/>
      <c r="P303" s="17" t="s">
        <v>214</v>
      </c>
      <c r="Q303" s="17"/>
      <c r="R303" s="17"/>
      <c r="S303" s="17" t="s">
        <v>147</v>
      </c>
      <c r="T303" s="17" t="s">
        <v>213</v>
      </c>
      <c r="U303" s="17" t="s">
        <v>182</v>
      </c>
      <c r="V303" s="17" t="s">
        <v>210</v>
      </c>
      <c r="W303" s="17"/>
    </row>
    <row r="304" spans="1:23" x14ac:dyDescent="0.45">
      <c r="A304" s="17" t="s">
        <v>1065</v>
      </c>
      <c r="B304" s="22">
        <v>46107</v>
      </c>
      <c r="C304" s="17">
        <v>151425901</v>
      </c>
      <c r="D304" s="26">
        <f>IFERROR(SUMIF(Servicios_Promotores!$B:$B,C304,Servicios_Promotores!$R:$R),0)</f>
        <v>0</v>
      </c>
      <c r="E304" s="26">
        <f>IFERROR(SUMIF(Pago_GERE!$B:$B,C304,Pago_GERE!$R:$R),0)</f>
        <v>0</v>
      </c>
      <c r="F304" s="26">
        <f>IFERROR(SUMIF(Hoja2!$H:$H,C304,Hoja2!$U:$U),0)</f>
        <v>0</v>
      </c>
      <c r="G304" s="17" t="s">
        <v>1551</v>
      </c>
      <c r="H304" s="17"/>
      <c r="I304" s="17" t="s">
        <v>163</v>
      </c>
      <c r="J304" s="17" t="s">
        <v>151</v>
      </c>
      <c r="K304" s="17" t="s">
        <v>39</v>
      </c>
      <c r="L304" s="17">
        <v>10001013</v>
      </c>
      <c r="M304" s="17" t="s">
        <v>183</v>
      </c>
      <c r="N304" s="17">
        <v>23854573</v>
      </c>
      <c r="O304" s="17" t="s">
        <v>1106</v>
      </c>
      <c r="P304" s="17" t="s">
        <v>160</v>
      </c>
      <c r="Q304" s="17" t="s">
        <v>1064</v>
      </c>
      <c r="R304" s="17" t="s">
        <v>1106</v>
      </c>
      <c r="S304" s="17" t="s">
        <v>147</v>
      </c>
      <c r="T304" s="17" t="s">
        <v>159</v>
      </c>
      <c r="U304" s="17" t="s">
        <v>251</v>
      </c>
      <c r="V304" s="17"/>
      <c r="W304" s="17"/>
    </row>
    <row r="305" spans="1:23" x14ac:dyDescent="0.45">
      <c r="A305" s="17" t="s">
        <v>1065</v>
      </c>
      <c r="B305" s="22">
        <v>46086</v>
      </c>
      <c r="C305" s="17">
        <v>151388593</v>
      </c>
      <c r="D305" s="26">
        <f>IFERROR(SUMIF(Servicios_Promotores!$B:$B,C305,Servicios_Promotores!$R:$R),0)</f>
        <v>0</v>
      </c>
      <c r="E305" s="26">
        <f>IFERROR(SUMIF(Pago_GERE!$B:$B,C305,Pago_GERE!$R:$R),0)</f>
        <v>0</v>
      </c>
      <c r="F305" s="26">
        <f>IFERROR(SUMIF(Hoja2!$H:$H,C305,Hoja2!$U:$U),0)</f>
        <v>0</v>
      </c>
      <c r="G305" s="17" t="s">
        <v>1551</v>
      </c>
      <c r="H305" s="17"/>
      <c r="I305" s="17" t="s">
        <v>163</v>
      </c>
      <c r="J305" s="17" t="s">
        <v>151</v>
      </c>
      <c r="K305" s="17" t="s">
        <v>42</v>
      </c>
      <c r="L305" s="17">
        <v>10001013</v>
      </c>
      <c r="M305" s="17" t="s">
        <v>183</v>
      </c>
      <c r="N305" s="17">
        <v>22806877</v>
      </c>
      <c r="O305" s="17" t="s">
        <v>1066</v>
      </c>
      <c r="P305" s="17" t="s">
        <v>148</v>
      </c>
      <c r="Q305" s="17" t="s">
        <v>1064</v>
      </c>
      <c r="R305" s="17" t="s">
        <v>1066</v>
      </c>
      <c r="S305" s="17" t="s">
        <v>147</v>
      </c>
      <c r="T305" s="17" t="s">
        <v>146</v>
      </c>
      <c r="U305" s="17" t="s">
        <v>251</v>
      </c>
      <c r="V305" s="17"/>
      <c r="W305" s="17"/>
    </row>
    <row r="306" spans="1:23" x14ac:dyDescent="0.45">
      <c r="A306" s="17" t="s">
        <v>1065</v>
      </c>
      <c r="B306" s="22">
        <v>46084</v>
      </c>
      <c r="C306" s="17">
        <v>151384306</v>
      </c>
      <c r="D306" s="26">
        <f>IFERROR(SUMIF(Servicios_Promotores!$B:$B,C306,Servicios_Promotores!$R:$R),0)</f>
        <v>0</v>
      </c>
      <c r="E306" s="26">
        <f>IFERROR(SUMIF(Pago_GERE!$B:$B,C306,Pago_GERE!$R:$R),0)</f>
        <v>0</v>
      </c>
      <c r="F306" s="26">
        <f>IFERROR(SUMIF(Hoja2!$H:$H,C306,Hoja2!$U:$U),0)</f>
        <v>0</v>
      </c>
      <c r="G306" s="17" t="s">
        <v>1551</v>
      </c>
      <c r="H306" s="17"/>
      <c r="I306" s="17" t="s">
        <v>152</v>
      </c>
      <c r="J306" s="17" t="s">
        <v>151</v>
      </c>
      <c r="K306" s="17" t="s">
        <v>42</v>
      </c>
      <c r="L306" s="17">
        <v>10001013</v>
      </c>
      <c r="M306" s="17" t="s">
        <v>183</v>
      </c>
      <c r="N306" s="17">
        <v>22769401</v>
      </c>
      <c r="O306" s="17" t="s">
        <v>1066</v>
      </c>
      <c r="P306" s="17" t="s">
        <v>192</v>
      </c>
      <c r="Q306" s="17" t="s">
        <v>1064</v>
      </c>
      <c r="R306" s="17" t="s">
        <v>1066</v>
      </c>
      <c r="S306" s="17" t="s">
        <v>147</v>
      </c>
      <c r="T306" s="17" t="s">
        <v>146</v>
      </c>
      <c r="U306" s="17" t="s">
        <v>251</v>
      </c>
      <c r="V306" s="17"/>
      <c r="W306" s="17"/>
    </row>
    <row r="307" spans="1:23" x14ac:dyDescent="0.45">
      <c r="A307" s="17" t="s">
        <v>1065</v>
      </c>
      <c r="B307" s="22">
        <v>46137</v>
      </c>
      <c r="C307" s="17">
        <v>151477255</v>
      </c>
      <c r="D307" s="26">
        <f>IFERROR(SUMIF(Servicios_Promotores!$B:$B,C307,Servicios_Promotores!$R:$R),0)</f>
        <v>0</v>
      </c>
      <c r="E307" s="26">
        <f>IFERROR(SUMIF(Pago_GERE!$B:$B,C307,Pago_GERE!$R:$R),0)</f>
        <v>0</v>
      </c>
      <c r="F307" s="26">
        <f>IFERROR(SUMIF(Hoja2!$H:$H,C307,Hoja2!$U:$U),0)</f>
        <v>0</v>
      </c>
      <c r="G307" s="17" t="s">
        <v>1551</v>
      </c>
      <c r="H307" s="17"/>
      <c r="I307" s="17" t="s">
        <v>163</v>
      </c>
      <c r="J307" s="17" t="s">
        <v>151</v>
      </c>
      <c r="K307" s="17" t="s">
        <v>42</v>
      </c>
      <c r="L307" s="17">
        <v>10001013</v>
      </c>
      <c r="M307" s="17" t="s">
        <v>183</v>
      </c>
      <c r="N307" s="17">
        <v>24583613</v>
      </c>
      <c r="O307" s="17" t="s">
        <v>1066</v>
      </c>
      <c r="P307" s="17" t="s">
        <v>148</v>
      </c>
      <c r="Q307" s="17" t="s">
        <v>1064</v>
      </c>
      <c r="R307" s="17" t="s">
        <v>1066</v>
      </c>
      <c r="S307" s="17" t="s">
        <v>147</v>
      </c>
      <c r="T307" s="17" t="s">
        <v>146</v>
      </c>
      <c r="U307" s="17" t="s">
        <v>251</v>
      </c>
      <c r="V307" s="17"/>
      <c r="W307" s="17"/>
    </row>
    <row r="308" spans="1:23" x14ac:dyDescent="0.45">
      <c r="A308" s="17" t="s">
        <v>1065</v>
      </c>
      <c r="B308" s="22">
        <v>46125</v>
      </c>
      <c r="C308" s="17">
        <v>151456273</v>
      </c>
      <c r="D308" s="26">
        <f>IFERROR(SUMIF(Servicios_Promotores!$B:$B,C308,Servicios_Promotores!$R:$R),0)</f>
        <v>0</v>
      </c>
      <c r="E308" s="26">
        <f>IFERROR(SUMIF(Pago_GERE!$B:$B,C308,Pago_GERE!$R:$R),0)</f>
        <v>0</v>
      </c>
      <c r="F308" s="26">
        <f>IFERROR(SUMIF(Hoja2!$H:$H,C308,Hoja2!$U:$U),0)</f>
        <v>0</v>
      </c>
      <c r="G308" s="17" t="s">
        <v>1551</v>
      </c>
      <c r="H308" s="17"/>
      <c r="I308" s="17" t="s">
        <v>158</v>
      </c>
      <c r="J308" s="17" t="s">
        <v>151</v>
      </c>
      <c r="K308" s="17" t="s">
        <v>55</v>
      </c>
      <c r="L308" s="17">
        <v>10001013</v>
      </c>
      <c r="M308" s="17" t="s">
        <v>183</v>
      </c>
      <c r="N308" s="17">
        <v>24219684</v>
      </c>
      <c r="O308" s="17" t="s">
        <v>1090</v>
      </c>
      <c r="P308" s="17" t="s">
        <v>221</v>
      </c>
      <c r="Q308" s="17" t="s">
        <v>1064</v>
      </c>
      <c r="R308" s="17" t="s">
        <v>1090</v>
      </c>
      <c r="S308" s="17" t="s">
        <v>155</v>
      </c>
      <c r="T308" s="17" t="s">
        <v>55</v>
      </c>
      <c r="U308" s="17" t="s">
        <v>251</v>
      </c>
      <c r="V308" s="17"/>
      <c r="W308" s="17"/>
    </row>
    <row r="309" spans="1:23" x14ac:dyDescent="0.45">
      <c r="A309" s="17" t="s">
        <v>1065</v>
      </c>
      <c r="B309" s="22">
        <v>46116</v>
      </c>
      <c r="C309" s="17">
        <v>151440764</v>
      </c>
      <c r="D309" s="26">
        <f>IFERROR(SUMIF(Servicios_Promotores!$B:$B,C309,Servicios_Promotores!$R:$R),0)</f>
        <v>0</v>
      </c>
      <c r="E309" s="26">
        <f>IFERROR(SUMIF(Pago_GERE!$B:$B,C309,Pago_GERE!$R:$R),0)</f>
        <v>0</v>
      </c>
      <c r="F309" s="26">
        <f>IFERROR(SUMIF(Hoja2!$H:$H,C309,Hoja2!$U:$U),0)</f>
        <v>0</v>
      </c>
      <c r="G309" s="17" t="s">
        <v>1551</v>
      </c>
      <c r="H309" s="17"/>
      <c r="I309" s="17" t="s">
        <v>260</v>
      </c>
      <c r="J309" s="17" t="s">
        <v>165</v>
      </c>
      <c r="K309" s="17" t="s">
        <v>42</v>
      </c>
      <c r="L309" s="17">
        <v>10001013</v>
      </c>
      <c r="M309" s="17" t="s">
        <v>183</v>
      </c>
      <c r="N309" s="17">
        <v>24030572</v>
      </c>
      <c r="O309" s="17" t="s">
        <v>1086</v>
      </c>
      <c r="P309" s="17" t="s">
        <v>148</v>
      </c>
      <c r="Q309" s="17" t="s">
        <v>1064</v>
      </c>
      <c r="R309" s="17" t="s">
        <v>1086</v>
      </c>
      <c r="S309" s="17" t="s">
        <v>147</v>
      </c>
      <c r="T309" s="17" t="s">
        <v>146</v>
      </c>
      <c r="U309" s="17" t="s">
        <v>251</v>
      </c>
      <c r="V309" s="17"/>
      <c r="W309" s="17"/>
    </row>
    <row r="310" spans="1:23" x14ac:dyDescent="0.45">
      <c r="A310" s="17" t="s">
        <v>254</v>
      </c>
      <c r="B310" s="22">
        <v>46079</v>
      </c>
      <c r="C310" s="17">
        <v>151373967</v>
      </c>
      <c r="D310" s="26">
        <f>IFERROR(SUMIF(Servicios_Promotores!$B:$B,C310,Servicios_Promotores!$R:$R),0)</f>
        <v>49.999999998</v>
      </c>
      <c r="E310" s="26">
        <f>IFERROR(SUMIF(Pago_GERE!$B:$B,C310,Pago_GERE!$R:$R),0)</f>
        <v>49.999999998</v>
      </c>
      <c r="F310" s="26">
        <f>IFERROR(SUMIF(Hoja2!$H:$H,C310,Hoja2!$U:$U),0)</f>
        <v>0</v>
      </c>
      <c r="G310" s="17" t="s">
        <v>1551</v>
      </c>
      <c r="H310" s="22">
        <v>46081</v>
      </c>
      <c r="I310" s="17" t="s">
        <v>152</v>
      </c>
      <c r="J310" s="17" t="s">
        <v>165</v>
      </c>
      <c r="K310" s="17" t="s">
        <v>31</v>
      </c>
      <c r="L310" s="17">
        <v>10001013</v>
      </c>
      <c r="M310" s="17" t="s">
        <v>183</v>
      </c>
      <c r="N310" s="17">
        <v>22604566</v>
      </c>
      <c r="O310" s="17" t="s">
        <v>847</v>
      </c>
      <c r="P310" s="17" t="s">
        <v>179</v>
      </c>
      <c r="Q310" s="17" t="s">
        <v>253</v>
      </c>
      <c r="R310" s="17" t="s">
        <v>847</v>
      </c>
      <c r="S310" s="17" t="s">
        <v>147</v>
      </c>
      <c r="T310" s="17" t="s">
        <v>178</v>
      </c>
      <c r="U310" s="17" t="s">
        <v>251</v>
      </c>
      <c r="V310" s="17" t="s">
        <v>846</v>
      </c>
      <c r="W310" s="17" t="s">
        <v>686</v>
      </c>
    </row>
    <row r="311" spans="1:23" x14ac:dyDescent="0.45">
      <c r="A311" s="17"/>
      <c r="B311" s="22">
        <v>46106</v>
      </c>
      <c r="C311" s="17">
        <v>151423384</v>
      </c>
      <c r="D311" s="26">
        <f>IFERROR(SUMIF(Servicios_Promotores!$B:$B,C311,Servicios_Promotores!$R:$R),0)</f>
        <v>0</v>
      </c>
      <c r="E311" s="26">
        <f>IFERROR(SUMIF(Pago_GERE!$B:$B,C311,Pago_GERE!$R:$R),0)</f>
        <v>0</v>
      </c>
      <c r="F311" s="26">
        <f>IFERROR(SUMIF(Hoja2!$H:$H,C311,Hoja2!$U:$U),0)</f>
        <v>0</v>
      </c>
      <c r="G311" s="17" t="s">
        <v>1551</v>
      </c>
      <c r="H311" s="17"/>
      <c r="I311" s="17" t="s">
        <v>152</v>
      </c>
      <c r="J311" s="17" t="s">
        <v>165</v>
      </c>
      <c r="K311" s="17" t="s">
        <v>39</v>
      </c>
      <c r="L311" s="17">
        <v>10001013</v>
      </c>
      <c r="M311" s="17" t="s">
        <v>183</v>
      </c>
      <c r="N311" s="17">
        <v>151423384</v>
      </c>
      <c r="O311" s="17" t="s">
        <v>171</v>
      </c>
      <c r="P311" s="17" t="s">
        <v>170</v>
      </c>
      <c r="Q311" s="17"/>
      <c r="R311" s="17"/>
      <c r="S311" s="17" t="s">
        <v>147</v>
      </c>
      <c r="T311" s="17" t="s">
        <v>169</v>
      </c>
      <c r="U311" s="17" t="s">
        <v>182</v>
      </c>
      <c r="V311" s="17"/>
      <c r="W311" s="17"/>
    </row>
    <row r="312" spans="1:23" x14ac:dyDescent="0.45">
      <c r="A312" s="17"/>
      <c r="B312" s="22">
        <v>46084</v>
      </c>
      <c r="C312" s="17">
        <v>151384506</v>
      </c>
      <c r="D312" s="26">
        <f>IFERROR(SUMIF(Servicios_Promotores!$B:$B,C312,Servicios_Promotores!$R:$R),0)</f>
        <v>0</v>
      </c>
      <c r="E312" s="26">
        <f>IFERROR(SUMIF(Pago_GERE!$B:$B,C312,Pago_GERE!$R:$R),0)</f>
        <v>0</v>
      </c>
      <c r="F312" s="26">
        <f>IFERROR(SUMIF(Hoja2!$H:$H,C312,Hoja2!$U:$U),0)</f>
        <v>0</v>
      </c>
      <c r="G312" s="17" t="s">
        <v>1551</v>
      </c>
      <c r="H312" s="17"/>
      <c r="I312" s="17" t="s">
        <v>191</v>
      </c>
      <c r="J312" s="17" t="s">
        <v>165</v>
      </c>
      <c r="K312" s="17" t="s">
        <v>39</v>
      </c>
      <c r="L312" s="17">
        <v>10001013</v>
      </c>
      <c r="M312" s="17" t="s">
        <v>183</v>
      </c>
      <c r="N312" s="17">
        <v>151384506</v>
      </c>
      <c r="O312" s="17" t="s">
        <v>190</v>
      </c>
      <c r="P312" s="17" t="s">
        <v>160</v>
      </c>
      <c r="Q312" s="17"/>
      <c r="R312" s="17"/>
      <c r="S312" s="17" t="s">
        <v>155</v>
      </c>
      <c r="T312" s="17" t="s">
        <v>159</v>
      </c>
      <c r="U312" s="17" t="s">
        <v>145</v>
      </c>
      <c r="V312" s="17"/>
      <c r="W312" s="17"/>
    </row>
    <row r="313" spans="1:23" x14ac:dyDescent="0.45">
      <c r="A313" s="17"/>
      <c r="B313" s="22">
        <v>46137</v>
      </c>
      <c r="C313" s="17">
        <v>151476895</v>
      </c>
      <c r="D313" s="26">
        <f>IFERROR(SUMIF(Servicios_Promotores!$B:$B,C313,Servicios_Promotores!$R:$R),0)</f>
        <v>0</v>
      </c>
      <c r="E313" s="26">
        <f>IFERROR(SUMIF(Pago_GERE!$B:$B,C313,Pago_GERE!$R:$R),0)</f>
        <v>0</v>
      </c>
      <c r="F313" s="26">
        <f>IFERROR(SUMIF(Hoja2!$H:$H,C313,Hoja2!$U:$U),0)</f>
        <v>0</v>
      </c>
      <c r="G313" s="17" t="s">
        <v>1551</v>
      </c>
      <c r="H313" s="17"/>
      <c r="I313" s="17" t="s">
        <v>163</v>
      </c>
      <c r="J313" s="17" t="s">
        <v>151</v>
      </c>
      <c r="K313" s="17" t="s">
        <v>31</v>
      </c>
      <c r="L313" s="17">
        <v>10001013</v>
      </c>
      <c r="M313" s="17" t="s">
        <v>183</v>
      </c>
      <c r="N313" s="17">
        <v>151476895</v>
      </c>
      <c r="O313" s="17"/>
      <c r="P313" s="17" t="s">
        <v>179</v>
      </c>
      <c r="Q313" s="17"/>
      <c r="R313" s="17"/>
      <c r="S313" s="17" t="s">
        <v>147</v>
      </c>
      <c r="T313" s="17" t="s">
        <v>178</v>
      </c>
      <c r="U313" s="17" t="s">
        <v>182</v>
      </c>
      <c r="V313" s="17"/>
      <c r="W313" s="17"/>
    </row>
    <row r="314" spans="1:23" x14ac:dyDescent="0.45">
      <c r="A314" s="17" t="s">
        <v>1065</v>
      </c>
      <c r="B314" s="22">
        <v>46062</v>
      </c>
      <c r="C314" s="17">
        <v>151341245</v>
      </c>
      <c r="D314" s="26">
        <f>IFERROR(SUMIF(Servicios_Promotores!$B:$B,C314,Servicios_Promotores!$R:$R),0)</f>
        <v>0</v>
      </c>
      <c r="E314" s="26">
        <f>IFERROR(SUMIF(Pago_GERE!$B:$B,C314,Pago_GERE!$R:$R),0)</f>
        <v>0</v>
      </c>
      <c r="F314" s="26">
        <f>IFERROR(SUMIF(Hoja2!$H:$H,C314,Hoja2!$U:$U),0)</f>
        <v>0</v>
      </c>
      <c r="G314" s="17" t="str">
        <f>IFERROR(VLOOKUP(C314,Hoja3!$C:$D,2,FALSE),"")</f>
        <v>GENESIS DIEGO</v>
      </c>
      <c r="H314" s="17"/>
      <c r="I314" s="17" t="s">
        <v>152</v>
      </c>
      <c r="J314" s="17" t="s">
        <v>151</v>
      </c>
      <c r="K314" s="17" t="s">
        <v>39</v>
      </c>
      <c r="L314" s="17">
        <v>10000064</v>
      </c>
      <c r="M314" s="17" t="s">
        <v>149</v>
      </c>
      <c r="N314" s="17">
        <v>22247634</v>
      </c>
      <c r="O314" s="17" t="s">
        <v>1066</v>
      </c>
      <c r="P314" s="17" t="s">
        <v>170</v>
      </c>
      <c r="Q314" s="17" t="s">
        <v>1064</v>
      </c>
      <c r="R314" s="17" t="s">
        <v>1066</v>
      </c>
      <c r="S314" s="17" t="s">
        <v>147</v>
      </c>
      <c r="T314" s="17" t="s">
        <v>169</v>
      </c>
      <c r="U314" s="17" t="s">
        <v>251</v>
      </c>
      <c r="V314" s="17" t="s">
        <v>210</v>
      </c>
      <c r="W314" s="17"/>
    </row>
    <row r="315" spans="1:23" x14ac:dyDescent="0.45">
      <c r="A315" s="17" t="s">
        <v>1065</v>
      </c>
      <c r="B315" s="22">
        <v>46060</v>
      </c>
      <c r="C315" s="17">
        <v>151340180</v>
      </c>
      <c r="D315" s="26">
        <f>IFERROR(SUMIF(Servicios_Promotores!$B:$B,C315,Servicios_Promotores!$R:$R),0)</f>
        <v>0</v>
      </c>
      <c r="E315" s="26">
        <f>IFERROR(SUMIF(Pago_GERE!$B:$B,C315,Pago_GERE!$R:$R),0)</f>
        <v>0</v>
      </c>
      <c r="F315" s="26">
        <f>IFERROR(SUMIF(Hoja2!$H:$H,C315,Hoja2!$U:$U),0)</f>
        <v>0</v>
      </c>
      <c r="G315" s="17" t="str">
        <f>IFERROR(VLOOKUP(C315,Hoja3!$C:$D,2,FALSE),"")</f>
        <v>GENESIS DIEGO</v>
      </c>
      <c r="H315" s="17"/>
      <c r="I315" s="17" t="s">
        <v>152</v>
      </c>
      <c r="J315" s="17" t="s">
        <v>151</v>
      </c>
      <c r="K315" s="17" t="s">
        <v>42</v>
      </c>
      <c r="L315" s="17">
        <v>10000064</v>
      </c>
      <c r="M315" s="17" t="s">
        <v>149</v>
      </c>
      <c r="N315" s="17">
        <v>22243657</v>
      </c>
      <c r="O315" s="17" t="s">
        <v>1112</v>
      </c>
      <c r="P315" s="17" t="s">
        <v>192</v>
      </c>
      <c r="Q315" s="17" t="s">
        <v>1070</v>
      </c>
      <c r="R315" s="17" t="s">
        <v>1112</v>
      </c>
      <c r="S315" s="17" t="s">
        <v>147</v>
      </c>
      <c r="T315" s="17" t="s">
        <v>146</v>
      </c>
      <c r="U315" s="17" t="s">
        <v>251</v>
      </c>
      <c r="V315" s="17"/>
      <c r="W315" s="17"/>
    </row>
    <row r="316" spans="1:23" x14ac:dyDescent="0.45">
      <c r="A316" s="17" t="s">
        <v>1065</v>
      </c>
      <c r="B316" s="22">
        <v>46058</v>
      </c>
      <c r="C316" s="17">
        <v>151336495</v>
      </c>
      <c r="D316" s="26">
        <f>IFERROR(SUMIF(Servicios_Promotores!$B:$B,C316,Servicios_Promotores!$R:$R),0)</f>
        <v>0</v>
      </c>
      <c r="E316" s="26">
        <f>IFERROR(SUMIF(Pago_GERE!$B:$B,C316,Pago_GERE!$R:$R),0)</f>
        <v>0</v>
      </c>
      <c r="F316" s="26">
        <f>IFERROR(SUMIF(Hoja2!$H:$H,C316,Hoja2!$U:$U),0)</f>
        <v>0</v>
      </c>
      <c r="G316" s="17" t="str">
        <f>IFERROR(VLOOKUP(C316,Hoja3!$C:$D,2,FALSE),"")</f>
        <v>GENESIS DIEGO</v>
      </c>
      <c r="H316" s="17"/>
      <c r="I316" s="17" t="s">
        <v>152</v>
      </c>
      <c r="J316" s="17" t="s">
        <v>151</v>
      </c>
      <c r="K316" s="17" t="s">
        <v>31</v>
      </c>
      <c r="L316" s="17">
        <v>10000064</v>
      </c>
      <c r="M316" s="17" t="s">
        <v>149</v>
      </c>
      <c r="N316" s="17">
        <v>22193507</v>
      </c>
      <c r="O316" s="17" t="s">
        <v>1066</v>
      </c>
      <c r="P316" s="17" t="s">
        <v>179</v>
      </c>
      <c r="Q316" s="17" t="s">
        <v>1064</v>
      </c>
      <c r="R316" s="17" t="s">
        <v>1066</v>
      </c>
      <c r="S316" s="17" t="s">
        <v>147</v>
      </c>
      <c r="T316" s="17" t="s">
        <v>178</v>
      </c>
      <c r="U316" s="17" t="s">
        <v>251</v>
      </c>
      <c r="V316" s="17" t="s">
        <v>210</v>
      </c>
      <c r="W316" s="17"/>
    </row>
    <row r="317" spans="1:23" x14ac:dyDescent="0.45">
      <c r="A317" s="17" t="s">
        <v>1065</v>
      </c>
      <c r="B317" s="22">
        <v>46057</v>
      </c>
      <c r="C317" s="17">
        <v>151334644</v>
      </c>
      <c r="D317" s="26">
        <f>IFERROR(SUMIF(Servicios_Promotores!$B:$B,C317,Servicios_Promotores!$R:$R),0)</f>
        <v>0</v>
      </c>
      <c r="E317" s="26">
        <f>IFERROR(SUMIF(Pago_GERE!$B:$B,C317,Pago_GERE!$R:$R),0)</f>
        <v>0</v>
      </c>
      <c r="F317" s="26">
        <f>IFERROR(SUMIF(Hoja2!$H:$H,C317,Hoja2!$U:$U),0)</f>
        <v>0</v>
      </c>
      <c r="G317" s="17" t="str">
        <f>IFERROR(VLOOKUP(C317,Hoja3!$C:$D,2,FALSE),"")</f>
        <v>GENESIS DIEGO</v>
      </c>
      <c r="H317" s="17"/>
      <c r="I317" s="17" t="s">
        <v>163</v>
      </c>
      <c r="J317" s="17" t="s">
        <v>151</v>
      </c>
      <c r="K317" s="17" t="s">
        <v>39</v>
      </c>
      <c r="L317" s="17">
        <v>10000064</v>
      </c>
      <c r="M317" s="17" t="s">
        <v>149</v>
      </c>
      <c r="N317" s="17">
        <v>22165718</v>
      </c>
      <c r="O317" s="17" t="s">
        <v>1066</v>
      </c>
      <c r="P317" s="17" t="s">
        <v>160</v>
      </c>
      <c r="Q317" s="17" t="s">
        <v>1064</v>
      </c>
      <c r="R317" s="17" t="s">
        <v>1066</v>
      </c>
      <c r="S317" s="17" t="s">
        <v>147</v>
      </c>
      <c r="T317" s="17" t="s">
        <v>159</v>
      </c>
      <c r="U317" s="17" t="s">
        <v>251</v>
      </c>
      <c r="V317" s="17" t="s">
        <v>210</v>
      </c>
      <c r="W317" s="17"/>
    </row>
    <row r="318" spans="1:23" x14ac:dyDescent="0.45">
      <c r="A318" s="17" t="s">
        <v>254</v>
      </c>
      <c r="B318" s="22">
        <v>46060</v>
      </c>
      <c r="C318" s="17">
        <v>151340287</v>
      </c>
      <c r="D318" s="26">
        <f>IFERROR(SUMIF(Servicios_Promotores!$B:$B,C318,Servicios_Promotores!$R:$R),0)</f>
        <v>0</v>
      </c>
      <c r="E318" s="26">
        <f>IFERROR(SUMIF(Pago_GERE!$B:$B,C318,Pago_GERE!$R:$R),0)</f>
        <v>0</v>
      </c>
      <c r="F318" s="26">
        <f>IFERROR(SUMIF(Hoja2!$H:$H,C318,Hoja2!$U:$U),0)</f>
        <v>0</v>
      </c>
      <c r="G318" s="17" t="str">
        <f>IFERROR(VLOOKUP(C318,Hoja3!$C:$D,2,FALSE),"")</f>
        <v>GENESIS DIEGO</v>
      </c>
      <c r="H318" s="22">
        <v>46065</v>
      </c>
      <c r="I318" s="17" t="s">
        <v>152</v>
      </c>
      <c r="J318" s="17" t="s">
        <v>165</v>
      </c>
      <c r="K318" s="17" t="s">
        <v>42</v>
      </c>
      <c r="L318" s="17">
        <v>10000064</v>
      </c>
      <c r="M318" s="17" t="s">
        <v>149</v>
      </c>
      <c r="N318" s="17">
        <v>22329569</v>
      </c>
      <c r="O318" s="17" t="s">
        <v>727</v>
      </c>
      <c r="P318" s="17" t="s">
        <v>192</v>
      </c>
      <c r="Q318" s="17" t="s">
        <v>253</v>
      </c>
      <c r="R318" s="17" t="s">
        <v>727</v>
      </c>
      <c r="S318" s="17" t="s">
        <v>147</v>
      </c>
      <c r="T318" s="17" t="s">
        <v>146</v>
      </c>
      <c r="U318" s="17" t="s">
        <v>251</v>
      </c>
      <c r="V318" s="17" t="s">
        <v>726</v>
      </c>
      <c r="W318" s="17" t="s">
        <v>725</v>
      </c>
    </row>
    <row r="319" spans="1:23" x14ac:dyDescent="0.45">
      <c r="A319" s="17" t="s">
        <v>254</v>
      </c>
      <c r="B319" s="22">
        <v>46057</v>
      </c>
      <c r="C319" s="17">
        <v>151334592</v>
      </c>
      <c r="D319" s="26">
        <f>IFERROR(SUMIF(Servicios_Promotores!$B:$B,C319,Servicios_Promotores!$R:$R),0)</f>
        <v>0</v>
      </c>
      <c r="E319" s="26">
        <f>IFERROR(SUMIF(Pago_GERE!$B:$B,C319,Pago_GERE!$R:$R),0)</f>
        <v>0</v>
      </c>
      <c r="F319" s="26">
        <f>IFERROR(SUMIF(Hoja2!$H:$H,C319,Hoja2!$U:$U),0)</f>
        <v>1013</v>
      </c>
      <c r="G319" s="17" t="str">
        <f>IFERROR(VLOOKUP(C319,Hoja3!$C:$D,2,FALSE),"")</f>
        <v>GENESIS DIEGO</v>
      </c>
      <c r="H319" s="22">
        <v>46060</v>
      </c>
      <c r="I319" s="17" t="s">
        <v>152</v>
      </c>
      <c r="J319" s="17" t="s">
        <v>151</v>
      </c>
      <c r="K319" s="17" t="s">
        <v>45</v>
      </c>
      <c r="L319" s="17">
        <v>10000064</v>
      </c>
      <c r="M319" s="17" t="s">
        <v>149</v>
      </c>
      <c r="N319" s="17">
        <v>22173583</v>
      </c>
      <c r="O319" s="17" t="s">
        <v>707</v>
      </c>
      <c r="P319" s="17" t="s">
        <v>309</v>
      </c>
      <c r="Q319" s="17" t="s">
        <v>253</v>
      </c>
      <c r="R319" s="17" t="s">
        <v>707</v>
      </c>
      <c r="S319" s="17" t="s">
        <v>147</v>
      </c>
      <c r="T319" s="17" t="s">
        <v>307</v>
      </c>
      <c r="U319" s="17" t="s">
        <v>251</v>
      </c>
      <c r="V319" s="17" t="s">
        <v>704</v>
      </c>
      <c r="W319" s="17" t="s">
        <v>703</v>
      </c>
    </row>
    <row r="320" spans="1:23" x14ac:dyDescent="0.45">
      <c r="A320" s="17" t="s">
        <v>254</v>
      </c>
      <c r="B320" s="22">
        <v>46057</v>
      </c>
      <c r="C320" s="17">
        <v>151334679</v>
      </c>
      <c r="D320" s="26">
        <f>IFERROR(SUMIF(Servicios_Promotores!$B:$B,C320,Servicios_Promotores!$R:$R),0)</f>
        <v>0</v>
      </c>
      <c r="E320" s="26">
        <f>IFERROR(SUMIF(Pago_GERE!$B:$B,C320,Pago_GERE!$R:$R),0)</f>
        <v>0</v>
      </c>
      <c r="F320" s="26">
        <f>IFERROR(SUMIF(Hoja2!$H:$H,C320,Hoja2!$U:$U),0)</f>
        <v>1298</v>
      </c>
      <c r="G320" s="17" t="str">
        <f>IFERROR(VLOOKUP(C320,Hoja3!$C:$D,2,FALSE),"")</f>
        <v>GENESIS DIEGO</v>
      </c>
      <c r="H320" s="22">
        <v>46059</v>
      </c>
      <c r="I320" s="17" t="s">
        <v>163</v>
      </c>
      <c r="J320" s="17" t="s">
        <v>151</v>
      </c>
      <c r="K320" s="17" t="s">
        <v>45</v>
      </c>
      <c r="L320" s="17">
        <v>10000064</v>
      </c>
      <c r="M320" s="17" t="s">
        <v>149</v>
      </c>
      <c r="N320" s="17">
        <v>22169083</v>
      </c>
      <c r="O320" s="17" t="s">
        <v>705</v>
      </c>
      <c r="P320" s="17" t="s">
        <v>309</v>
      </c>
      <c r="Q320" s="17" t="s">
        <v>253</v>
      </c>
      <c r="R320" s="17" t="s">
        <v>705</v>
      </c>
      <c r="S320" s="17" t="s">
        <v>147</v>
      </c>
      <c r="T320" s="17" t="s">
        <v>307</v>
      </c>
      <c r="U320" s="17" t="s">
        <v>251</v>
      </c>
      <c r="V320" s="17" t="s">
        <v>704</v>
      </c>
      <c r="W320" s="17" t="s">
        <v>703</v>
      </c>
    </row>
    <row r="321" spans="1:23" x14ac:dyDescent="0.45">
      <c r="A321" s="17" t="s">
        <v>254</v>
      </c>
      <c r="B321" s="22">
        <v>46057</v>
      </c>
      <c r="C321" s="17">
        <v>151334519</v>
      </c>
      <c r="D321" s="26">
        <f>IFERROR(SUMIF(Servicios_Promotores!$B:$B,C321,Servicios_Promotores!$R:$R),0)</f>
        <v>0</v>
      </c>
      <c r="E321" s="26">
        <f>IFERROR(SUMIF(Pago_GERE!$B:$B,C321,Pago_GERE!$R:$R),0)</f>
        <v>0</v>
      </c>
      <c r="F321" s="26">
        <f>IFERROR(SUMIF(Hoja2!$H:$H,C321,Hoja2!$U:$U),0)</f>
        <v>0</v>
      </c>
      <c r="G321" s="17" t="str">
        <f>IFERROR(VLOOKUP(C321,Hoja3!$C:$D,2,FALSE),"")</f>
        <v>GENESIS DIEGO</v>
      </c>
      <c r="H321" s="22">
        <v>46059</v>
      </c>
      <c r="I321" s="17" t="s">
        <v>152</v>
      </c>
      <c r="J321" s="17" t="s">
        <v>151</v>
      </c>
      <c r="K321" s="17" t="s">
        <v>31</v>
      </c>
      <c r="L321" s="17">
        <v>10000064</v>
      </c>
      <c r="M321" s="17" t="s">
        <v>149</v>
      </c>
      <c r="N321" s="17">
        <v>22149171</v>
      </c>
      <c r="O321" s="17" t="s">
        <v>702</v>
      </c>
      <c r="P321" s="17" t="s">
        <v>179</v>
      </c>
      <c r="Q321" s="17" t="s">
        <v>253</v>
      </c>
      <c r="R321" s="17" t="s">
        <v>702</v>
      </c>
      <c r="S321" s="17" t="s">
        <v>147</v>
      </c>
      <c r="T321" s="17" t="s">
        <v>178</v>
      </c>
      <c r="U321" s="17" t="s">
        <v>251</v>
      </c>
      <c r="V321" s="17" t="s">
        <v>583</v>
      </c>
      <c r="W321" s="17" t="s">
        <v>175</v>
      </c>
    </row>
    <row r="322" spans="1:23" x14ac:dyDescent="0.45">
      <c r="A322" s="17" t="s">
        <v>254</v>
      </c>
      <c r="B322" s="22">
        <v>46056</v>
      </c>
      <c r="C322" s="17">
        <v>151332766</v>
      </c>
      <c r="D322" s="26">
        <f>IFERROR(SUMIF(Servicios_Promotores!$B:$B,C322,Servicios_Promotores!$R:$R),0)</f>
        <v>0</v>
      </c>
      <c r="E322" s="26">
        <f>IFERROR(SUMIF(Pago_GERE!$B:$B,C322,Pago_GERE!$R:$R),0)</f>
        <v>0</v>
      </c>
      <c r="F322" s="26">
        <f>IFERROR(SUMIF(Hoja2!$H:$H,C322,Hoja2!$U:$U),0)</f>
        <v>0</v>
      </c>
      <c r="G322" s="17" t="str">
        <f>IFERROR(VLOOKUP(C322,Hoja3!$C:$D,2,FALSE),"")</f>
        <v>GENESIS DIEGO</v>
      </c>
      <c r="H322" s="22">
        <v>46059</v>
      </c>
      <c r="I322" s="17" t="s">
        <v>152</v>
      </c>
      <c r="J322" s="17" t="s">
        <v>165</v>
      </c>
      <c r="K322" s="17" t="s">
        <v>31</v>
      </c>
      <c r="L322" s="17">
        <v>10000064</v>
      </c>
      <c r="M322" s="17" t="s">
        <v>701</v>
      </c>
      <c r="N322" s="17">
        <v>22135399</v>
      </c>
      <c r="O322" s="17" t="s">
        <v>700</v>
      </c>
      <c r="P322" s="17" t="s">
        <v>179</v>
      </c>
      <c r="Q322" s="17" t="s">
        <v>253</v>
      </c>
      <c r="R322" s="17" t="s">
        <v>700</v>
      </c>
      <c r="S322" s="17" t="s">
        <v>147</v>
      </c>
      <c r="T322" s="17" t="s">
        <v>178</v>
      </c>
      <c r="U322" s="17" t="s">
        <v>251</v>
      </c>
      <c r="V322" s="17" t="s">
        <v>699</v>
      </c>
      <c r="W322" s="17" t="s">
        <v>175</v>
      </c>
    </row>
    <row r="323" spans="1:23" x14ac:dyDescent="0.45">
      <c r="A323" s="17" t="s">
        <v>254</v>
      </c>
      <c r="B323" s="22">
        <v>46063</v>
      </c>
      <c r="C323" s="17">
        <v>151345417</v>
      </c>
      <c r="D323" s="26">
        <f>IFERROR(SUMIF(Servicios_Promotores!$B:$B,C323,Servicios_Promotores!$R:$R),0)</f>
        <v>0</v>
      </c>
      <c r="E323" s="26">
        <f>IFERROR(SUMIF(Pago_GERE!$B:$B,C323,Pago_GERE!$R:$R),0)</f>
        <v>0</v>
      </c>
      <c r="F323" s="26">
        <f>IFERROR(SUMIF(Hoja2!$H:$H,C323,Hoja2!$U:$U),0)</f>
        <v>2195</v>
      </c>
      <c r="G323" s="17" t="str">
        <f>IFERROR(VLOOKUP(C323,Hoja3!$C:$D,2,FALSE),"")</f>
        <v>GUILLERMO</v>
      </c>
      <c r="H323" s="22">
        <v>46065</v>
      </c>
      <c r="I323" s="17" t="s">
        <v>739</v>
      </c>
      <c r="J323" s="17" t="s">
        <v>151</v>
      </c>
      <c r="K323" s="17" t="s">
        <v>101</v>
      </c>
      <c r="L323" s="17">
        <v>10000064</v>
      </c>
      <c r="M323" s="17" t="s">
        <v>181</v>
      </c>
      <c r="N323" s="17">
        <v>22295967</v>
      </c>
      <c r="O323" s="17" t="s">
        <v>743</v>
      </c>
      <c r="P323" s="17" t="s">
        <v>156</v>
      </c>
      <c r="Q323" s="17" t="s">
        <v>253</v>
      </c>
      <c r="R323" s="17" t="s">
        <v>743</v>
      </c>
      <c r="S323" s="17" t="s">
        <v>155</v>
      </c>
      <c r="T323" s="17" t="s">
        <v>154</v>
      </c>
      <c r="U323" s="17" t="s">
        <v>251</v>
      </c>
      <c r="V323" s="17" t="s">
        <v>742</v>
      </c>
      <c r="W323" s="17" t="s">
        <v>441</v>
      </c>
    </row>
    <row r="324" spans="1:23" x14ac:dyDescent="0.45">
      <c r="A324" s="17" t="s">
        <v>254</v>
      </c>
      <c r="B324" s="22">
        <v>46063</v>
      </c>
      <c r="C324" s="17">
        <v>151345456</v>
      </c>
      <c r="D324" s="26">
        <f>IFERROR(SUMIF(Servicios_Promotores!$B:$B,C324,Servicios_Promotores!$R:$R),0)</f>
        <v>0</v>
      </c>
      <c r="E324" s="26">
        <f>IFERROR(SUMIF(Pago_GERE!$B:$B,C324,Pago_GERE!$R:$R),0)</f>
        <v>0</v>
      </c>
      <c r="F324" s="26">
        <f>IFERROR(SUMIF(Hoja2!$H:$H,C324,Hoja2!$U:$U),0)</f>
        <v>1748</v>
      </c>
      <c r="G324" s="17" t="str">
        <f>IFERROR(VLOOKUP(C324,Hoja3!$C:$D,2,FALSE),"")</f>
        <v>GUILLERMO</v>
      </c>
      <c r="H324" s="22">
        <v>46065</v>
      </c>
      <c r="I324" s="17" t="s">
        <v>739</v>
      </c>
      <c r="J324" s="17" t="s">
        <v>151</v>
      </c>
      <c r="K324" s="17" t="s">
        <v>39</v>
      </c>
      <c r="L324" s="17">
        <v>10000064</v>
      </c>
      <c r="M324" s="17" t="s">
        <v>181</v>
      </c>
      <c r="N324" s="17">
        <v>22291151</v>
      </c>
      <c r="O324" s="17" t="s">
        <v>741</v>
      </c>
      <c r="P324" s="17" t="s">
        <v>160</v>
      </c>
      <c r="Q324" s="17" t="s">
        <v>253</v>
      </c>
      <c r="R324" s="17" t="s">
        <v>741</v>
      </c>
      <c r="S324" s="17" t="s">
        <v>155</v>
      </c>
      <c r="T324" s="17" t="s">
        <v>159</v>
      </c>
      <c r="U324" s="17" t="s">
        <v>251</v>
      </c>
      <c r="V324" s="17" t="s">
        <v>740</v>
      </c>
      <c r="W324" s="17" t="s">
        <v>539</v>
      </c>
    </row>
    <row r="325" spans="1:23" x14ac:dyDescent="0.45">
      <c r="A325" s="17" t="s">
        <v>254</v>
      </c>
      <c r="B325" s="22">
        <v>46063</v>
      </c>
      <c r="C325" s="17">
        <v>151345444</v>
      </c>
      <c r="D325" s="26">
        <f>IFERROR(SUMIF(Servicios_Promotores!$B:$B,C325,Servicios_Promotores!$R:$R),0)</f>
        <v>0</v>
      </c>
      <c r="E325" s="26">
        <f>IFERROR(SUMIF(Pago_GERE!$B:$B,C325,Pago_GERE!$R:$R),0)</f>
        <v>0</v>
      </c>
      <c r="F325" s="26">
        <f>IFERROR(SUMIF(Hoja2!$H:$H,C325,Hoja2!$U:$U),0)</f>
        <v>1498</v>
      </c>
      <c r="G325" s="17" t="str">
        <f>IFERROR(VLOOKUP(C325,Hoja3!$C:$D,2,FALSE),"")</f>
        <v>GUILLERMO</v>
      </c>
      <c r="H325" s="22">
        <v>46068</v>
      </c>
      <c r="I325" s="17" t="s">
        <v>739</v>
      </c>
      <c r="J325" s="17" t="s">
        <v>151</v>
      </c>
      <c r="K325" s="17" t="s">
        <v>39</v>
      </c>
      <c r="L325" s="17">
        <v>10000064</v>
      </c>
      <c r="M325" s="17" t="s">
        <v>181</v>
      </c>
      <c r="N325" s="17">
        <v>22290885</v>
      </c>
      <c r="O325" s="17" t="s">
        <v>738</v>
      </c>
      <c r="P325" s="17" t="s">
        <v>214</v>
      </c>
      <c r="Q325" s="17" t="s">
        <v>253</v>
      </c>
      <c r="R325" s="17" t="s">
        <v>738</v>
      </c>
      <c r="S325" s="17" t="s">
        <v>155</v>
      </c>
      <c r="T325" s="17" t="s">
        <v>213</v>
      </c>
      <c r="U325" s="17" t="s">
        <v>251</v>
      </c>
      <c r="V325" s="17" t="s">
        <v>737</v>
      </c>
      <c r="W325" s="17" t="s">
        <v>736</v>
      </c>
    </row>
    <row r="326" spans="1:23" x14ac:dyDescent="0.45">
      <c r="A326" s="17" t="s">
        <v>254</v>
      </c>
      <c r="B326" s="22">
        <v>46063</v>
      </c>
      <c r="C326" s="17">
        <v>151345069</v>
      </c>
      <c r="D326" s="26">
        <f>IFERROR(SUMIF(Servicios_Promotores!$B:$B,C326,Servicios_Promotores!$R:$R),0)</f>
        <v>299.99999997499998</v>
      </c>
      <c r="E326" s="26">
        <f>IFERROR(SUMIF(Pago_GERE!$B:$B,C326,Pago_GERE!$R:$R),0)</f>
        <v>200.000000005</v>
      </c>
      <c r="F326" s="26">
        <f>IFERROR(SUMIF(Hoja2!$H:$H,C326,Hoja2!$U:$U),0)</f>
        <v>0</v>
      </c>
      <c r="G326" s="17" t="str">
        <f>IFERROR(VLOOKUP(C326,Hoja3!$C:$D,2,FALSE),"")</f>
        <v>GUILLERMO</v>
      </c>
      <c r="H326" s="22">
        <v>46064</v>
      </c>
      <c r="I326" s="17" t="s">
        <v>209</v>
      </c>
      <c r="J326" s="17" t="s">
        <v>165</v>
      </c>
      <c r="K326" s="17" t="s">
        <v>42</v>
      </c>
      <c r="L326" s="17">
        <v>10000064</v>
      </c>
      <c r="M326" s="17" t="s">
        <v>211</v>
      </c>
      <c r="N326" s="17">
        <v>22292271</v>
      </c>
      <c r="O326" s="17" t="s">
        <v>733</v>
      </c>
      <c r="P326" s="17" t="s">
        <v>148</v>
      </c>
      <c r="Q326" s="17" t="s">
        <v>253</v>
      </c>
      <c r="R326" s="17" t="s">
        <v>733</v>
      </c>
      <c r="S326" s="17" t="s">
        <v>147</v>
      </c>
      <c r="T326" s="17" t="s">
        <v>146</v>
      </c>
      <c r="U326" s="17" t="s">
        <v>251</v>
      </c>
      <c r="V326" s="17" t="s">
        <v>732</v>
      </c>
      <c r="W326" s="17" t="s">
        <v>508</v>
      </c>
    </row>
    <row r="327" spans="1:23" x14ac:dyDescent="0.45">
      <c r="A327" s="17" t="s">
        <v>254</v>
      </c>
      <c r="B327" s="22">
        <v>46064</v>
      </c>
      <c r="C327" s="17">
        <v>151347004</v>
      </c>
      <c r="D327" s="26">
        <f>IFERROR(SUMIF(Servicios_Promotores!$B:$B,C327,Servicios_Promotores!$R:$R),0)</f>
        <v>0</v>
      </c>
      <c r="E327" s="26">
        <f>IFERROR(SUMIF(Pago_GERE!$B:$B,C327,Pago_GERE!$R:$R),0)</f>
        <v>0</v>
      </c>
      <c r="F327" s="26">
        <f>IFERROR(SUMIF(Hoja2!$H:$H,C327,Hoja2!$U:$U),0)</f>
        <v>505</v>
      </c>
      <c r="G327" s="17" t="str">
        <f>IFERROR(VLOOKUP(C327,Hoja3!$C:$D,2,FALSE),"")</f>
        <v>GUILLERMO</v>
      </c>
      <c r="H327" s="22">
        <v>46073</v>
      </c>
      <c r="I327" s="17" t="s">
        <v>209</v>
      </c>
      <c r="J327" s="17" t="s">
        <v>165</v>
      </c>
      <c r="K327" s="17" t="s">
        <v>39</v>
      </c>
      <c r="L327" s="17">
        <v>10000064</v>
      </c>
      <c r="M327" s="17" t="s">
        <v>218</v>
      </c>
      <c r="N327" s="17">
        <v>22494036</v>
      </c>
      <c r="O327" s="17" t="s">
        <v>751</v>
      </c>
      <c r="P327" s="17" t="s">
        <v>170</v>
      </c>
      <c r="Q327" s="17" t="s">
        <v>253</v>
      </c>
      <c r="R327" s="17" t="s">
        <v>751</v>
      </c>
      <c r="S327" s="17" t="s">
        <v>147</v>
      </c>
      <c r="T327" s="17" t="s">
        <v>169</v>
      </c>
      <c r="U327" s="17" t="s">
        <v>251</v>
      </c>
      <c r="V327" s="17" t="s">
        <v>750</v>
      </c>
      <c r="W327" s="17" t="s">
        <v>665</v>
      </c>
    </row>
    <row r="328" spans="1:23" x14ac:dyDescent="0.45">
      <c r="A328" s="17" t="s">
        <v>254</v>
      </c>
      <c r="B328" s="22">
        <v>46064</v>
      </c>
      <c r="C328" s="17">
        <v>151347082</v>
      </c>
      <c r="D328" s="26">
        <f>IFERROR(SUMIF(Servicios_Promotores!$B:$B,C328,Servicios_Promotores!$R:$R),0)</f>
        <v>0</v>
      </c>
      <c r="E328" s="26">
        <f>IFERROR(SUMIF(Pago_GERE!$B:$B,C328,Pago_GERE!$R:$R),0)</f>
        <v>0</v>
      </c>
      <c r="F328" s="26">
        <f>IFERROR(SUMIF(Hoja2!$H:$H,C328,Hoja2!$U:$U),0)</f>
        <v>0</v>
      </c>
      <c r="G328" s="17" t="str">
        <f>IFERROR(VLOOKUP(C328,Hoja3!$C:$D,2,FALSE),"")</f>
        <v>GUILLERMO</v>
      </c>
      <c r="H328" s="22">
        <v>46065</v>
      </c>
      <c r="I328" s="17" t="s">
        <v>158</v>
      </c>
      <c r="J328" s="17" t="s">
        <v>151</v>
      </c>
      <c r="K328" s="17" t="s">
        <v>42</v>
      </c>
      <c r="L328" s="17">
        <v>10000064</v>
      </c>
      <c r="M328" s="17" t="s">
        <v>218</v>
      </c>
      <c r="N328" s="17">
        <v>22313113</v>
      </c>
      <c r="O328" s="17" t="s">
        <v>746</v>
      </c>
      <c r="P328" s="17" t="s">
        <v>148</v>
      </c>
      <c r="Q328" s="17" t="s">
        <v>253</v>
      </c>
      <c r="R328" s="17" t="s">
        <v>746</v>
      </c>
      <c r="S328" s="17" t="s">
        <v>155</v>
      </c>
      <c r="T328" s="17" t="s">
        <v>146</v>
      </c>
      <c r="U328" s="17" t="s">
        <v>251</v>
      </c>
      <c r="V328" s="17" t="s">
        <v>375</v>
      </c>
      <c r="W328" s="17" t="s">
        <v>374</v>
      </c>
    </row>
    <row r="329" spans="1:23" x14ac:dyDescent="0.45">
      <c r="A329" s="17" t="s">
        <v>254</v>
      </c>
      <c r="B329" s="22">
        <v>46064</v>
      </c>
      <c r="C329" s="17">
        <v>151347414</v>
      </c>
      <c r="D329" s="26">
        <f>IFERROR(SUMIF(Servicios_Promotores!$B:$B,C329,Servicios_Promotores!$R:$R),0)</f>
        <v>0</v>
      </c>
      <c r="E329" s="26">
        <f>IFERROR(SUMIF(Pago_GERE!$B:$B,C329,Pago_GERE!$R:$R),0)</f>
        <v>0</v>
      </c>
      <c r="F329" s="26">
        <f>IFERROR(SUMIF(Hoja2!$H:$H,C329,Hoja2!$U:$U),0)</f>
        <v>0</v>
      </c>
      <c r="G329" s="17" t="str">
        <f>IFERROR(VLOOKUP(C329,Hoja3!$C:$D,2,FALSE),"")</f>
        <v>IAN</v>
      </c>
      <c r="H329" s="22">
        <v>46071</v>
      </c>
      <c r="I329" s="17" t="s">
        <v>152</v>
      </c>
      <c r="J329" s="17" t="s">
        <v>151</v>
      </c>
      <c r="K329" s="17" t="s">
        <v>39</v>
      </c>
      <c r="L329" s="17">
        <v>10001013</v>
      </c>
      <c r="M329" s="17" t="s">
        <v>207</v>
      </c>
      <c r="N329" s="17">
        <v>22311774</v>
      </c>
      <c r="O329" s="17" t="s">
        <v>745</v>
      </c>
      <c r="P329" s="17" t="s">
        <v>160</v>
      </c>
      <c r="Q329" s="17" t="s">
        <v>253</v>
      </c>
      <c r="R329" s="17" t="s">
        <v>745</v>
      </c>
      <c r="S329" s="17" t="s">
        <v>147</v>
      </c>
      <c r="T329" s="17" t="s">
        <v>159</v>
      </c>
      <c r="U329" s="17" t="s">
        <v>251</v>
      </c>
      <c r="V329" s="17" t="s">
        <v>744</v>
      </c>
      <c r="W329" s="17" t="s">
        <v>539</v>
      </c>
    </row>
    <row r="330" spans="1:23" x14ac:dyDescent="0.45">
      <c r="A330" s="17" t="s">
        <v>1065</v>
      </c>
      <c r="B330" s="22">
        <v>46064</v>
      </c>
      <c r="C330" s="17">
        <v>151347392</v>
      </c>
      <c r="D330" s="26">
        <f>IFERROR(SUMIF(Servicios_Promotores!$B:$B,C330,Servicios_Promotores!$R:$R),0)</f>
        <v>0</v>
      </c>
      <c r="E330" s="26">
        <f>IFERROR(SUMIF(Pago_GERE!$B:$B,C330,Pago_GERE!$R:$R),0)</f>
        <v>0</v>
      </c>
      <c r="F330" s="26">
        <f>IFERROR(SUMIF(Hoja2!$H:$H,C330,Hoja2!$U:$U),0)</f>
        <v>0</v>
      </c>
      <c r="G330" s="17" t="str">
        <f>IFERROR(VLOOKUP(C330,Hoja3!$C:$D,2,FALSE),"")</f>
        <v>IAN</v>
      </c>
      <c r="H330" s="17"/>
      <c r="I330" s="17" t="s">
        <v>152</v>
      </c>
      <c r="J330" s="17" t="s">
        <v>151</v>
      </c>
      <c r="K330" s="17" t="s">
        <v>39</v>
      </c>
      <c r="L330" s="17">
        <v>10000064</v>
      </c>
      <c r="M330" s="17" t="s">
        <v>211</v>
      </c>
      <c r="N330" s="17">
        <v>22467153</v>
      </c>
      <c r="O330" s="17" t="s">
        <v>1116</v>
      </c>
      <c r="P330" s="17" t="s">
        <v>170</v>
      </c>
      <c r="Q330" s="17" t="s">
        <v>1064</v>
      </c>
      <c r="R330" s="17" t="s">
        <v>1116</v>
      </c>
      <c r="S330" s="17" t="s">
        <v>147</v>
      </c>
      <c r="T330" s="17" t="s">
        <v>169</v>
      </c>
      <c r="U330" s="17" t="s">
        <v>251</v>
      </c>
      <c r="V330" s="17" t="s">
        <v>210</v>
      </c>
      <c r="W330" s="17"/>
    </row>
    <row r="331" spans="1:23" x14ac:dyDescent="0.45">
      <c r="A331" s="17"/>
      <c r="B331" s="22">
        <v>46064</v>
      </c>
      <c r="C331" s="17">
        <v>151347223</v>
      </c>
      <c r="D331" s="26">
        <f>IFERROR(SUMIF(Servicios_Promotores!$B:$B,C331,Servicios_Promotores!$R:$R),0)</f>
        <v>0</v>
      </c>
      <c r="E331" s="26">
        <f>IFERROR(SUMIF(Pago_GERE!$B:$B,C331,Pago_GERE!$R:$R),0)</f>
        <v>0</v>
      </c>
      <c r="F331" s="26">
        <f>IFERROR(SUMIF(Hoja2!$H:$H,C331,Hoja2!$U:$U),0)</f>
        <v>0</v>
      </c>
      <c r="G331" s="17" t="str">
        <f>IFERROR(VLOOKUP(C331,Hoja3!$C:$D,2,FALSE),"")</f>
        <v>IAN</v>
      </c>
      <c r="H331" s="17"/>
      <c r="I331" s="17" t="s">
        <v>152</v>
      </c>
      <c r="J331" s="17" t="s">
        <v>165</v>
      </c>
      <c r="K331" s="17" t="s">
        <v>39</v>
      </c>
      <c r="L331" s="17">
        <v>10001013</v>
      </c>
      <c r="M331" s="17" t="s">
        <v>183</v>
      </c>
      <c r="N331" s="17">
        <v>151347223</v>
      </c>
      <c r="O331" s="17" t="s">
        <v>216</v>
      </c>
      <c r="P331" s="17" t="s">
        <v>170</v>
      </c>
      <c r="Q331" s="17"/>
      <c r="R331" s="17"/>
      <c r="S331" s="17" t="s">
        <v>147</v>
      </c>
      <c r="T331" s="17" t="s">
        <v>169</v>
      </c>
      <c r="U331" s="17" t="s">
        <v>182</v>
      </c>
      <c r="V331" s="17"/>
      <c r="W331" s="17"/>
    </row>
    <row r="332" spans="1:23" x14ac:dyDescent="0.45">
      <c r="A332" s="17" t="s">
        <v>254</v>
      </c>
      <c r="B332" s="22">
        <v>46064</v>
      </c>
      <c r="C332" s="17">
        <v>151347341</v>
      </c>
      <c r="D332" s="26">
        <f>IFERROR(SUMIF(Servicios_Promotores!$B:$B,C332,Servicios_Promotores!$R:$R),0)</f>
        <v>0</v>
      </c>
      <c r="E332" s="26">
        <f>IFERROR(SUMIF(Pago_GERE!$B:$B,C332,Pago_GERE!$R:$R),0)</f>
        <v>0</v>
      </c>
      <c r="F332" s="26">
        <f>IFERROR(SUMIF(Hoja2!$H:$H,C332,Hoja2!$U:$U),0)</f>
        <v>992</v>
      </c>
      <c r="G332" s="17" t="str">
        <f>IFERROR(VLOOKUP(C332,Hoja3!$C:$D,2,FALSE),"")</f>
        <v>IAN</v>
      </c>
      <c r="H332" s="22">
        <v>46069</v>
      </c>
      <c r="I332" s="17" t="s">
        <v>204</v>
      </c>
      <c r="J332" s="17" t="s">
        <v>165</v>
      </c>
      <c r="K332" s="17" t="s">
        <v>42</v>
      </c>
      <c r="L332" s="17">
        <v>10000064</v>
      </c>
      <c r="M332" s="17" t="s">
        <v>149</v>
      </c>
      <c r="N332" s="17">
        <v>22399649</v>
      </c>
      <c r="O332" s="17" t="s">
        <v>754</v>
      </c>
      <c r="P332" s="17" t="s">
        <v>192</v>
      </c>
      <c r="Q332" s="17" t="s">
        <v>253</v>
      </c>
      <c r="R332" s="17" t="s">
        <v>754</v>
      </c>
      <c r="S332" s="17" t="s">
        <v>155</v>
      </c>
      <c r="T332" s="17" t="s">
        <v>146</v>
      </c>
      <c r="U332" s="17" t="s">
        <v>251</v>
      </c>
      <c r="V332" s="17" t="s">
        <v>753</v>
      </c>
      <c r="W332" s="17" t="s">
        <v>752</v>
      </c>
    </row>
    <row r="333" spans="1:23" x14ac:dyDescent="0.45">
      <c r="A333" s="17"/>
      <c r="B333" s="22">
        <v>46064</v>
      </c>
      <c r="C333" s="17">
        <v>151347272</v>
      </c>
      <c r="D333" s="26">
        <f>IFERROR(SUMIF(Servicios_Promotores!$B:$B,C333,Servicios_Promotores!$R:$R),0)</f>
        <v>0</v>
      </c>
      <c r="E333" s="26">
        <f>IFERROR(SUMIF(Pago_GERE!$B:$B,C333,Pago_GERE!$R:$R),0)</f>
        <v>0</v>
      </c>
      <c r="F333" s="26">
        <f>IFERROR(SUMIF(Hoja2!$H:$H,C333,Hoja2!$U:$U),0)</f>
        <v>0</v>
      </c>
      <c r="G333" s="17" t="str">
        <f>IFERROR(VLOOKUP(C333,Hoja3!$C:$D,2,FALSE),"")</f>
        <v>IAN</v>
      </c>
      <c r="H333" s="17"/>
      <c r="I333" s="17" t="s">
        <v>204</v>
      </c>
      <c r="J333" s="17" t="s">
        <v>151</v>
      </c>
      <c r="K333" s="17" t="s">
        <v>39</v>
      </c>
      <c r="L333" s="17">
        <v>10000064</v>
      </c>
      <c r="M333" s="17" t="s">
        <v>149</v>
      </c>
      <c r="N333" s="17">
        <v>151347272</v>
      </c>
      <c r="O333" s="17"/>
      <c r="P333" s="17" t="s">
        <v>170</v>
      </c>
      <c r="Q333" s="17"/>
      <c r="R333" s="17"/>
      <c r="S333" s="17" t="s">
        <v>155</v>
      </c>
      <c r="T333" s="17" t="s">
        <v>169</v>
      </c>
      <c r="U333" s="17" t="s">
        <v>182</v>
      </c>
      <c r="V333" s="17" t="s">
        <v>210</v>
      </c>
      <c r="W333" s="17"/>
    </row>
    <row r="334" spans="1:23" x14ac:dyDescent="0.45">
      <c r="A334" s="17" t="s">
        <v>1065</v>
      </c>
      <c r="B334" s="22">
        <v>46064</v>
      </c>
      <c r="C334" s="17">
        <v>151347620</v>
      </c>
      <c r="D334" s="26">
        <f>IFERROR(SUMIF(Servicios_Promotores!$B:$B,C334,Servicios_Promotores!$R:$R),0)</f>
        <v>0</v>
      </c>
      <c r="E334" s="26">
        <f>IFERROR(SUMIF(Pago_GERE!$B:$B,C334,Pago_GERE!$R:$R),0)</f>
        <v>0</v>
      </c>
      <c r="F334" s="26">
        <f>IFERROR(SUMIF(Hoja2!$H:$H,C334,Hoja2!$U:$U),0)</f>
        <v>0</v>
      </c>
      <c r="G334" s="17" t="str">
        <f>IFERROR(VLOOKUP(C334,Hoja3!$C:$D,2,FALSE),"")</f>
        <v>JAHIR</v>
      </c>
      <c r="H334" s="17"/>
      <c r="I334" s="17" t="s">
        <v>152</v>
      </c>
      <c r="J334" s="17" t="s">
        <v>165</v>
      </c>
      <c r="K334" s="17" t="s">
        <v>39</v>
      </c>
      <c r="L334" s="17">
        <v>10001013</v>
      </c>
      <c r="M334" s="17" t="s">
        <v>207</v>
      </c>
      <c r="N334" s="17">
        <v>22311627</v>
      </c>
      <c r="O334" s="17" t="s">
        <v>1117</v>
      </c>
      <c r="P334" s="17" t="s">
        <v>160</v>
      </c>
      <c r="Q334" s="17" t="s">
        <v>1064</v>
      </c>
      <c r="R334" s="17" t="s">
        <v>1117</v>
      </c>
      <c r="S334" s="17" t="s">
        <v>147</v>
      </c>
      <c r="T334" s="17" t="s">
        <v>159</v>
      </c>
      <c r="U334" s="17" t="s">
        <v>251</v>
      </c>
      <c r="V334" s="17"/>
      <c r="W334" s="17"/>
    </row>
    <row r="335" spans="1:23" x14ac:dyDescent="0.45">
      <c r="A335" s="17" t="s">
        <v>1065</v>
      </c>
      <c r="B335" s="22">
        <v>46064</v>
      </c>
      <c r="C335" s="17">
        <v>151347483</v>
      </c>
      <c r="D335" s="26">
        <f>IFERROR(SUMIF(Servicios_Promotores!$B:$B,C335,Servicios_Promotores!$R:$R),0)</f>
        <v>0</v>
      </c>
      <c r="E335" s="26">
        <f>IFERROR(SUMIF(Pago_GERE!$B:$B,C335,Pago_GERE!$R:$R),0)</f>
        <v>0</v>
      </c>
      <c r="F335" s="26">
        <f>IFERROR(SUMIF(Hoja2!$H:$H,C335,Hoja2!$U:$U),0)</f>
        <v>0</v>
      </c>
      <c r="G335" s="17" t="str">
        <f>IFERROR(VLOOKUP(C335,Hoja3!$C:$D,2,FALSE),"")</f>
        <v>JAHIR</v>
      </c>
      <c r="H335" s="17"/>
      <c r="I335" s="17" t="s">
        <v>152</v>
      </c>
      <c r="J335" s="17" t="s">
        <v>165</v>
      </c>
      <c r="K335" s="17" t="s">
        <v>39</v>
      </c>
      <c r="L335" s="17">
        <v>10000064</v>
      </c>
      <c r="M335" s="17" t="s">
        <v>211</v>
      </c>
      <c r="N335" s="17">
        <v>22323079</v>
      </c>
      <c r="O335" s="17" t="s">
        <v>1118</v>
      </c>
      <c r="P335" s="17" t="s">
        <v>170</v>
      </c>
      <c r="Q335" s="17" t="s">
        <v>1064</v>
      </c>
      <c r="R335" s="17" t="s">
        <v>1118</v>
      </c>
      <c r="S335" s="17" t="s">
        <v>147</v>
      </c>
      <c r="T335" s="17" t="s">
        <v>169</v>
      </c>
      <c r="U335" s="17" t="s">
        <v>251</v>
      </c>
      <c r="V335" s="17"/>
      <c r="W335" s="17"/>
    </row>
    <row r="336" spans="1:23" x14ac:dyDescent="0.45">
      <c r="A336" s="17" t="s">
        <v>254</v>
      </c>
      <c r="B336" s="22">
        <v>46064</v>
      </c>
      <c r="C336" s="17">
        <v>151347418</v>
      </c>
      <c r="D336" s="26">
        <f>IFERROR(SUMIF(Servicios_Promotores!$B:$B,C336,Servicios_Promotores!$R:$R),0)</f>
        <v>0</v>
      </c>
      <c r="E336" s="26">
        <f>IFERROR(SUMIF(Pago_GERE!$B:$B,C336,Pago_GERE!$R:$R),0)</f>
        <v>0</v>
      </c>
      <c r="F336" s="26">
        <f>IFERROR(SUMIF(Hoja2!$H:$H,C336,Hoja2!$U:$U),0)</f>
        <v>889</v>
      </c>
      <c r="G336" s="17" t="str">
        <f>IFERROR(VLOOKUP(C336,Hoja3!$C:$D,2,FALSE),"")</f>
        <v>JAHIR</v>
      </c>
      <c r="H336" s="22">
        <v>46074</v>
      </c>
      <c r="I336" s="17" t="s">
        <v>152</v>
      </c>
      <c r="J336" s="17" t="s">
        <v>151</v>
      </c>
      <c r="K336" s="17" t="s">
        <v>39</v>
      </c>
      <c r="L336" s="17">
        <v>10000064</v>
      </c>
      <c r="M336" s="17" t="s">
        <v>211</v>
      </c>
      <c r="N336" s="17">
        <v>22315423</v>
      </c>
      <c r="O336" s="17" t="s">
        <v>749</v>
      </c>
      <c r="P336" s="17" t="s">
        <v>170</v>
      </c>
      <c r="Q336" s="17" t="s">
        <v>253</v>
      </c>
      <c r="R336" s="17" t="s">
        <v>749</v>
      </c>
      <c r="S336" s="17" t="s">
        <v>147</v>
      </c>
      <c r="T336" s="17" t="s">
        <v>169</v>
      </c>
      <c r="U336" s="17" t="s">
        <v>251</v>
      </c>
      <c r="V336" s="17" t="s">
        <v>748</v>
      </c>
      <c r="W336" s="17" t="s">
        <v>747</v>
      </c>
    </row>
    <row r="337" spans="1:23" x14ac:dyDescent="0.45">
      <c r="A337" s="17"/>
      <c r="B337" s="22">
        <v>46066</v>
      </c>
      <c r="C337" s="17">
        <v>151351904</v>
      </c>
      <c r="D337" s="26">
        <f>IFERROR(SUMIF(Servicios_Promotores!$B:$B,C337,Servicios_Promotores!$R:$R),0)</f>
        <v>0</v>
      </c>
      <c r="E337" s="26">
        <f>IFERROR(SUMIF(Pago_GERE!$B:$B,C337,Pago_GERE!$R:$R),0)</f>
        <v>0</v>
      </c>
      <c r="F337" s="26">
        <f>IFERROR(SUMIF(Hoja2!$H:$H,C337,Hoja2!$U:$U),0)</f>
        <v>0</v>
      </c>
      <c r="G337" s="17" t="str">
        <f>IFERROR(VLOOKUP(C337,Hoja3!$C:$D,2,FALSE),"")</f>
        <v>JERANY</v>
      </c>
      <c r="H337" s="17"/>
      <c r="I337" s="17" t="s">
        <v>152</v>
      </c>
      <c r="J337" s="17" t="s">
        <v>165</v>
      </c>
      <c r="K337" s="17" t="s">
        <v>62</v>
      </c>
      <c r="L337" s="17">
        <v>10000064</v>
      </c>
      <c r="M337" s="17" t="s">
        <v>211</v>
      </c>
      <c r="N337" s="17">
        <v>151351904</v>
      </c>
      <c r="O337" s="17" t="s">
        <v>217</v>
      </c>
      <c r="P337" s="17" t="s">
        <v>188</v>
      </c>
      <c r="Q337" s="17"/>
      <c r="R337" s="17"/>
      <c r="S337" s="17" t="s">
        <v>147</v>
      </c>
      <c r="T337" s="17" t="s">
        <v>187</v>
      </c>
      <c r="U337" s="17" t="s">
        <v>182</v>
      </c>
      <c r="V337" s="17"/>
      <c r="W337" s="17"/>
    </row>
    <row r="338" spans="1:23" x14ac:dyDescent="0.45">
      <c r="A338" s="17" t="s">
        <v>1065</v>
      </c>
      <c r="B338" s="22">
        <v>46066</v>
      </c>
      <c r="C338" s="17">
        <v>151351790</v>
      </c>
      <c r="D338" s="26">
        <f>IFERROR(SUMIF(Servicios_Promotores!$B:$B,C338,Servicios_Promotores!$R:$R),0)</f>
        <v>0</v>
      </c>
      <c r="E338" s="26">
        <f>IFERROR(SUMIF(Pago_GERE!$B:$B,C338,Pago_GERE!$R:$R),0)</f>
        <v>0</v>
      </c>
      <c r="F338" s="26">
        <f>IFERROR(SUMIF(Hoja2!$H:$H,C338,Hoja2!$U:$U),0)</f>
        <v>0</v>
      </c>
      <c r="G338" s="17" t="str">
        <f>IFERROR(VLOOKUP(C338,Hoja3!$C:$D,2,FALSE),"")</f>
        <v>JERANY</v>
      </c>
      <c r="H338" s="17"/>
      <c r="I338" s="17" t="s">
        <v>152</v>
      </c>
      <c r="J338" s="17" t="s">
        <v>165</v>
      </c>
      <c r="K338" s="17" t="s">
        <v>62</v>
      </c>
      <c r="L338" s="17">
        <v>10001013</v>
      </c>
      <c r="M338" s="17" t="s">
        <v>183</v>
      </c>
      <c r="N338" s="17">
        <v>22381687</v>
      </c>
      <c r="O338" s="17" t="s">
        <v>1119</v>
      </c>
      <c r="P338" s="17" t="s">
        <v>188</v>
      </c>
      <c r="Q338" s="17" t="s">
        <v>1064</v>
      </c>
      <c r="R338" s="17" t="s">
        <v>1119</v>
      </c>
      <c r="S338" s="17" t="s">
        <v>147</v>
      </c>
      <c r="T338" s="17" t="s">
        <v>187</v>
      </c>
      <c r="U338" s="17" t="s">
        <v>251</v>
      </c>
      <c r="V338" s="17"/>
      <c r="W338" s="17"/>
    </row>
    <row r="339" spans="1:23" x14ac:dyDescent="0.45">
      <c r="A339" s="17" t="s">
        <v>254</v>
      </c>
      <c r="B339" s="22">
        <v>46067</v>
      </c>
      <c r="C339" s="17">
        <v>151352921</v>
      </c>
      <c r="D339" s="26">
        <f>IFERROR(SUMIF(Servicios_Promotores!$B:$B,C339,Servicios_Promotores!$R:$R),0)</f>
        <v>49.999999998</v>
      </c>
      <c r="E339" s="26">
        <f>IFERROR(SUMIF(Pago_GERE!$B:$B,C339,Pago_GERE!$R:$R),0)</f>
        <v>49.999999998</v>
      </c>
      <c r="F339" s="26">
        <f>IFERROR(SUMIF(Hoja2!$H:$H,C339,Hoja2!$U:$U),0)</f>
        <v>0</v>
      </c>
      <c r="G339" s="17" t="str">
        <f>IFERROR(VLOOKUP(C339,Hoja3!$C:$D,2,FALSE),"")</f>
        <v>JERANY</v>
      </c>
      <c r="H339" s="22">
        <v>46073</v>
      </c>
      <c r="I339" s="17" t="s">
        <v>152</v>
      </c>
      <c r="J339" s="17" t="s">
        <v>165</v>
      </c>
      <c r="K339" s="17" t="s">
        <v>62</v>
      </c>
      <c r="L339" s="17">
        <v>10001013</v>
      </c>
      <c r="M339" s="17" t="s">
        <v>183</v>
      </c>
      <c r="N339" s="17">
        <v>22487717</v>
      </c>
      <c r="O339" s="17" t="s">
        <v>765</v>
      </c>
      <c r="P339" s="17" t="s">
        <v>188</v>
      </c>
      <c r="Q339" s="17" t="s">
        <v>253</v>
      </c>
      <c r="R339" s="17" t="s">
        <v>765</v>
      </c>
      <c r="S339" s="17" t="s">
        <v>147</v>
      </c>
      <c r="T339" s="17" t="s">
        <v>187</v>
      </c>
      <c r="U339" s="17" t="s">
        <v>251</v>
      </c>
      <c r="V339" s="17" t="s">
        <v>210</v>
      </c>
      <c r="W339" s="17"/>
    </row>
    <row r="340" spans="1:23" x14ac:dyDescent="0.45">
      <c r="A340" s="17"/>
      <c r="B340" s="22">
        <v>46067</v>
      </c>
      <c r="C340" s="17">
        <v>151352524</v>
      </c>
      <c r="D340" s="26">
        <f>IFERROR(SUMIF(Servicios_Promotores!$B:$B,C340,Servicios_Promotores!$R:$R),0)</f>
        <v>0</v>
      </c>
      <c r="E340" s="26">
        <f>IFERROR(SUMIF(Pago_GERE!$B:$B,C340,Pago_GERE!$R:$R),0)</f>
        <v>0</v>
      </c>
      <c r="F340" s="26">
        <f>IFERROR(SUMIF(Hoja2!$H:$H,C340,Hoja2!$U:$U),0)</f>
        <v>0</v>
      </c>
      <c r="G340" s="17" t="str">
        <f>IFERROR(VLOOKUP(C340,Hoja3!$C:$D,2,FALSE),"")</f>
        <v>JERANY</v>
      </c>
      <c r="H340" s="17"/>
      <c r="I340" s="17" t="s">
        <v>163</v>
      </c>
      <c r="J340" s="17" t="s">
        <v>151</v>
      </c>
      <c r="K340" s="17" t="s">
        <v>39</v>
      </c>
      <c r="L340" s="17">
        <v>10001013</v>
      </c>
      <c r="M340" s="17" t="s">
        <v>183</v>
      </c>
      <c r="N340" s="17">
        <v>151352524</v>
      </c>
      <c r="O340" s="17"/>
      <c r="P340" s="17" t="s">
        <v>170</v>
      </c>
      <c r="Q340" s="17"/>
      <c r="R340" s="17"/>
      <c r="S340" s="17" t="s">
        <v>147</v>
      </c>
      <c r="T340" s="17" t="s">
        <v>169</v>
      </c>
      <c r="U340" s="17" t="s">
        <v>182</v>
      </c>
      <c r="V340" s="17" t="s">
        <v>210</v>
      </c>
      <c r="W340" s="17"/>
    </row>
    <row r="341" spans="1:23" x14ac:dyDescent="0.45">
      <c r="A341" s="17" t="s">
        <v>1065</v>
      </c>
      <c r="B341" s="22">
        <v>46067</v>
      </c>
      <c r="C341" s="17">
        <v>151352184</v>
      </c>
      <c r="D341" s="26">
        <f>IFERROR(SUMIF(Servicios_Promotores!$B:$B,C341,Servicios_Promotores!$R:$R),0)</f>
        <v>0</v>
      </c>
      <c r="E341" s="26">
        <f>IFERROR(SUMIF(Pago_GERE!$B:$B,C341,Pago_GERE!$R:$R),0)</f>
        <v>0</v>
      </c>
      <c r="F341" s="26">
        <f>IFERROR(SUMIF(Hoja2!$H:$H,C341,Hoja2!$U:$U),0)</f>
        <v>0</v>
      </c>
      <c r="G341" s="17" t="str">
        <f>IFERROR(VLOOKUP(C341,Hoja3!$C:$D,2,FALSE),"")</f>
        <v>JERANY</v>
      </c>
      <c r="H341" s="17"/>
      <c r="I341" s="17" t="s">
        <v>152</v>
      </c>
      <c r="J341" s="17" t="s">
        <v>151</v>
      </c>
      <c r="K341" s="17" t="s">
        <v>101</v>
      </c>
      <c r="L341" s="17">
        <v>10000064</v>
      </c>
      <c r="M341" s="17" t="s">
        <v>149</v>
      </c>
      <c r="N341" s="17">
        <v>22362371</v>
      </c>
      <c r="O341" s="17" t="s">
        <v>1066</v>
      </c>
      <c r="P341" s="17" t="s">
        <v>156</v>
      </c>
      <c r="Q341" s="17" t="s">
        <v>1064</v>
      </c>
      <c r="R341" s="17" t="s">
        <v>1066</v>
      </c>
      <c r="S341" s="17" t="s">
        <v>147</v>
      </c>
      <c r="T341" s="17" t="s">
        <v>154</v>
      </c>
      <c r="U341" s="17" t="s">
        <v>251</v>
      </c>
      <c r="V341" s="17" t="s">
        <v>210</v>
      </c>
      <c r="W341" s="17"/>
    </row>
    <row r="342" spans="1:23" x14ac:dyDescent="0.45">
      <c r="A342" s="17" t="s">
        <v>1065</v>
      </c>
      <c r="B342" s="22">
        <v>46067</v>
      </c>
      <c r="C342" s="17">
        <v>151352134</v>
      </c>
      <c r="D342" s="26">
        <f>IFERROR(SUMIF(Servicios_Promotores!$B:$B,C342,Servicios_Promotores!$R:$R),0)</f>
        <v>0</v>
      </c>
      <c r="E342" s="26">
        <f>IFERROR(SUMIF(Pago_GERE!$B:$B,C342,Pago_GERE!$R:$R),0)</f>
        <v>0</v>
      </c>
      <c r="F342" s="26">
        <f>IFERROR(SUMIF(Hoja2!$H:$H,C342,Hoja2!$U:$U),0)</f>
        <v>0</v>
      </c>
      <c r="G342" s="17" t="str">
        <f>IFERROR(VLOOKUP(C342,Hoja3!$C:$D,2,FALSE),"")</f>
        <v>JERANY</v>
      </c>
      <c r="H342" s="17"/>
      <c r="I342" s="17" t="s">
        <v>163</v>
      </c>
      <c r="J342" s="17" t="s">
        <v>151</v>
      </c>
      <c r="K342" s="17" t="s">
        <v>101</v>
      </c>
      <c r="L342" s="17">
        <v>10000064</v>
      </c>
      <c r="M342" s="17" t="s">
        <v>149</v>
      </c>
      <c r="N342" s="17">
        <v>22362452</v>
      </c>
      <c r="O342" s="17" t="s">
        <v>1066</v>
      </c>
      <c r="P342" s="17" t="s">
        <v>156</v>
      </c>
      <c r="Q342" s="17" t="s">
        <v>1064</v>
      </c>
      <c r="R342" s="17" t="s">
        <v>1066</v>
      </c>
      <c r="S342" s="17" t="s">
        <v>147</v>
      </c>
      <c r="T342" s="17" t="s">
        <v>154</v>
      </c>
      <c r="U342" s="17" t="s">
        <v>251</v>
      </c>
      <c r="V342" s="17" t="s">
        <v>210</v>
      </c>
      <c r="W342" s="17"/>
    </row>
    <row r="343" spans="1:23" x14ac:dyDescent="0.45">
      <c r="A343" s="17" t="s">
        <v>1065</v>
      </c>
      <c r="B343" s="22">
        <v>46067</v>
      </c>
      <c r="C343" s="17">
        <v>151352145</v>
      </c>
      <c r="D343" s="26">
        <f>IFERROR(SUMIF(Servicios_Promotores!$B:$B,C343,Servicios_Promotores!$R:$R),0)</f>
        <v>0</v>
      </c>
      <c r="E343" s="26">
        <f>IFERROR(SUMIF(Pago_GERE!$B:$B,C343,Pago_GERE!$R:$R),0)</f>
        <v>0</v>
      </c>
      <c r="F343" s="26">
        <f>IFERROR(SUMIF(Hoja2!$H:$H,C343,Hoja2!$U:$U),0)</f>
        <v>0</v>
      </c>
      <c r="G343" s="17" t="str">
        <f>IFERROR(VLOOKUP(C343,Hoja3!$C:$D,2,FALSE),"")</f>
        <v>JERANY</v>
      </c>
      <c r="H343" s="17"/>
      <c r="I343" s="17" t="s">
        <v>152</v>
      </c>
      <c r="J343" s="17" t="s">
        <v>165</v>
      </c>
      <c r="K343" s="17" t="s">
        <v>1115</v>
      </c>
      <c r="L343" s="17">
        <v>10000064</v>
      </c>
      <c r="M343" s="17" t="s">
        <v>149</v>
      </c>
      <c r="N343" s="17">
        <v>22380099</v>
      </c>
      <c r="O343" s="17" t="s">
        <v>1066</v>
      </c>
      <c r="P343" s="17" t="s">
        <v>1114</v>
      </c>
      <c r="Q343" s="17" t="s">
        <v>1064</v>
      </c>
      <c r="R343" s="17" t="s">
        <v>1066</v>
      </c>
      <c r="S343" s="17" t="s">
        <v>147</v>
      </c>
      <c r="T343" s="17" t="s">
        <v>1113</v>
      </c>
      <c r="U343" s="17" t="s">
        <v>251</v>
      </c>
      <c r="V343" s="17" t="s">
        <v>210</v>
      </c>
      <c r="W343" s="17"/>
    </row>
    <row r="344" spans="1:23" x14ac:dyDescent="0.45">
      <c r="A344" s="17" t="s">
        <v>254</v>
      </c>
      <c r="B344" s="22">
        <v>46067</v>
      </c>
      <c r="C344" s="17">
        <v>151352128</v>
      </c>
      <c r="D344" s="26">
        <f>IFERROR(SUMIF(Servicios_Promotores!$B:$B,C344,Servicios_Promotores!$R:$R),0)</f>
        <v>75.000000009999994</v>
      </c>
      <c r="E344" s="26">
        <f>IFERROR(SUMIF(Pago_GERE!$B:$B,C344,Pago_GERE!$R:$R),0)</f>
        <v>75.000000009999994</v>
      </c>
      <c r="F344" s="26">
        <f>IFERROR(SUMIF(Hoja2!$H:$H,C344,Hoja2!$U:$U),0)</f>
        <v>0</v>
      </c>
      <c r="G344" s="17" t="str">
        <f>IFERROR(VLOOKUP(C344,Hoja3!$C:$D,2,FALSE),"")</f>
        <v>JERANY</v>
      </c>
      <c r="H344" s="22">
        <v>46070</v>
      </c>
      <c r="I344" s="17" t="s">
        <v>152</v>
      </c>
      <c r="J344" s="17" t="s">
        <v>165</v>
      </c>
      <c r="K344" s="17" t="s">
        <v>62</v>
      </c>
      <c r="L344" s="17">
        <v>10000064</v>
      </c>
      <c r="M344" s="17" t="s">
        <v>149</v>
      </c>
      <c r="N344" s="17">
        <v>22380923</v>
      </c>
      <c r="O344" s="17" t="s">
        <v>764</v>
      </c>
      <c r="P344" s="17" t="s">
        <v>188</v>
      </c>
      <c r="Q344" s="17" t="s">
        <v>253</v>
      </c>
      <c r="R344" s="17" t="s">
        <v>764</v>
      </c>
      <c r="S344" s="17" t="s">
        <v>147</v>
      </c>
      <c r="T344" s="17" t="s">
        <v>187</v>
      </c>
      <c r="U344" s="17" t="s">
        <v>251</v>
      </c>
      <c r="V344" s="17" t="s">
        <v>756</v>
      </c>
      <c r="W344" s="17" t="s">
        <v>755</v>
      </c>
    </row>
    <row r="345" spans="1:23" x14ac:dyDescent="0.45">
      <c r="A345" s="17" t="s">
        <v>254</v>
      </c>
      <c r="B345" s="22">
        <v>46067</v>
      </c>
      <c r="C345" s="17">
        <v>151352519</v>
      </c>
      <c r="D345" s="26">
        <f>IFERROR(SUMIF(Servicios_Promotores!$B:$B,C345,Servicios_Promotores!$R:$R),0)</f>
        <v>0</v>
      </c>
      <c r="E345" s="26">
        <f>IFERROR(SUMIF(Pago_GERE!$B:$B,C345,Pago_GERE!$R:$R),0)</f>
        <v>0</v>
      </c>
      <c r="F345" s="26">
        <f>IFERROR(SUMIF(Hoja2!$H:$H,C345,Hoja2!$U:$U),0)</f>
        <v>0</v>
      </c>
      <c r="G345" s="17" t="str">
        <f>IFERROR(VLOOKUP(C345,Hoja3!$C:$D,2,FALSE),"")</f>
        <v>JERANY</v>
      </c>
      <c r="H345" s="22">
        <v>46070</v>
      </c>
      <c r="I345" s="17" t="s">
        <v>152</v>
      </c>
      <c r="J345" s="17" t="s">
        <v>151</v>
      </c>
      <c r="K345" s="17" t="s">
        <v>42</v>
      </c>
      <c r="L345" s="17">
        <v>10000064</v>
      </c>
      <c r="M345" s="17" t="s">
        <v>149</v>
      </c>
      <c r="N345" s="17">
        <v>22371952</v>
      </c>
      <c r="O345" s="17" t="s">
        <v>763</v>
      </c>
      <c r="P345" s="17" t="s">
        <v>148</v>
      </c>
      <c r="Q345" s="17" t="s">
        <v>253</v>
      </c>
      <c r="R345" s="17" t="s">
        <v>763</v>
      </c>
      <c r="S345" s="17" t="s">
        <v>147</v>
      </c>
      <c r="T345" s="17" t="s">
        <v>146</v>
      </c>
      <c r="U345" s="17" t="s">
        <v>251</v>
      </c>
      <c r="V345" s="17" t="s">
        <v>762</v>
      </c>
      <c r="W345" s="17" t="s">
        <v>761</v>
      </c>
    </row>
    <row r="346" spans="1:23" x14ac:dyDescent="0.45">
      <c r="A346" s="17" t="s">
        <v>1065</v>
      </c>
      <c r="B346" s="22">
        <v>46067</v>
      </c>
      <c r="C346" s="17">
        <v>151352984</v>
      </c>
      <c r="D346" s="26">
        <f>IFERROR(SUMIF(Servicios_Promotores!$B:$B,C346,Servicios_Promotores!$R:$R),0)</f>
        <v>0</v>
      </c>
      <c r="E346" s="26">
        <f>IFERROR(SUMIF(Pago_GERE!$B:$B,C346,Pago_GERE!$R:$R),0)</f>
        <v>0</v>
      </c>
      <c r="F346" s="26">
        <f>IFERROR(SUMIF(Hoja2!$H:$H,C346,Hoja2!$U:$U),0)</f>
        <v>0</v>
      </c>
      <c r="G346" s="17" t="str">
        <f>IFERROR(VLOOKUP(C346,Hoja3!$C:$D,2,FALSE),"")</f>
        <v>JERANY</v>
      </c>
      <c r="H346" s="17"/>
      <c r="I346" s="17" t="s">
        <v>152</v>
      </c>
      <c r="J346" s="17" t="s">
        <v>151</v>
      </c>
      <c r="K346" s="17" t="s">
        <v>36</v>
      </c>
      <c r="L346" s="17">
        <v>10000064</v>
      </c>
      <c r="M346" s="17" t="s">
        <v>218</v>
      </c>
      <c r="N346" s="17">
        <v>22372900</v>
      </c>
      <c r="O346" s="17" t="s">
        <v>1066</v>
      </c>
      <c r="P346" s="17" t="s">
        <v>403</v>
      </c>
      <c r="Q346" s="17" t="s">
        <v>1064</v>
      </c>
      <c r="R346" s="17" t="s">
        <v>1066</v>
      </c>
      <c r="S346" s="17" t="s">
        <v>147</v>
      </c>
      <c r="T346" s="17" t="s">
        <v>173</v>
      </c>
      <c r="U346" s="17" t="s">
        <v>251</v>
      </c>
      <c r="V346" s="17" t="s">
        <v>210</v>
      </c>
      <c r="W346" s="17"/>
    </row>
    <row r="347" spans="1:23" x14ac:dyDescent="0.45">
      <c r="A347" s="17"/>
      <c r="B347" s="22">
        <v>46067</v>
      </c>
      <c r="C347" s="17">
        <v>151352947</v>
      </c>
      <c r="D347" s="26">
        <f>IFERROR(SUMIF(Servicios_Promotores!$B:$B,C347,Servicios_Promotores!$R:$R),0)</f>
        <v>0</v>
      </c>
      <c r="E347" s="26">
        <f>IFERROR(SUMIF(Pago_GERE!$B:$B,C347,Pago_GERE!$R:$R),0)</f>
        <v>0</v>
      </c>
      <c r="F347" s="26">
        <f>IFERROR(SUMIF(Hoja2!$H:$H,C347,Hoja2!$U:$U),0)</f>
        <v>0</v>
      </c>
      <c r="G347" s="17" t="str">
        <f>IFERROR(VLOOKUP(C347,Hoja3!$C:$D,2,FALSE),"")</f>
        <v>JERANY</v>
      </c>
      <c r="H347" s="17"/>
      <c r="I347" s="17" t="s">
        <v>209</v>
      </c>
      <c r="J347" s="17" t="s">
        <v>151</v>
      </c>
      <c r="K347" s="17" t="s">
        <v>62</v>
      </c>
      <c r="L347" s="17">
        <v>10000064</v>
      </c>
      <c r="M347" s="17" t="s">
        <v>218</v>
      </c>
      <c r="N347" s="17">
        <v>151352947</v>
      </c>
      <c r="O347" s="17"/>
      <c r="P347" s="17" t="s">
        <v>188</v>
      </c>
      <c r="Q347" s="17"/>
      <c r="R347" s="17"/>
      <c r="S347" s="17" t="s">
        <v>147</v>
      </c>
      <c r="T347" s="17" t="s">
        <v>187</v>
      </c>
      <c r="U347" s="17" t="s">
        <v>145</v>
      </c>
      <c r="V347" s="17" t="s">
        <v>210</v>
      </c>
      <c r="W347" s="17"/>
    </row>
    <row r="348" spans="1:23" x14ac:dyDescent="0.45">
      <c r="A348" s="17" t="s">
        <v>1065</v>
      </c>
      <c r="B348" s="22">
        <v>46067</v>
      </c>
      <c r="C348" s="17">
        <v>151352914</v>
      </c>
      <c r="D348" s="26">
        <f>IFERROR(SUMIF(Servicios_Promotores!$B:$B,C348,Servicios_Promotores!$R:$R),0)</f>
        <v>0</v>
      </c>
      <c r="E348" s="26">
        <f>IFERROR(SUMIF(Pago_GERE!$B:$B,C348,Pago_GERE!$R:$R),0)</f>
        <v>0</v>
      </c>
      <c r="F348" s="26">
        <f>IFERROR(SUMIF(Hoja2!$H:$H,C348,Hoja2!$U:$U),0)</f>
        <v>0</v>
      </c>
      <c r="G348" s="17" t="str">
        <f>IFERROR(VLOOKUP(C348,Hoja3!$C:$D,2,FALSE),"")</f>
        <v>JERANY</v>
      </c>
      <c r="H348" s="17"/>
      <c r="I348" s="17" t="s">
        <v>152</v>
      </c>
      <c r="J348" s="17" t="s">
        <v>151</v>
      </c>
      <c r="K348" s="17" t="s">
        <v>42</v>
      </c>
      <c r="L348" s="17">
        <v>10000064</v>
      </c>
      <c r="M348" s="17" t="s">
        <v>758</v>
      </c>
      <c r="N348" s="17">
        <v>22371977</v>
      </c>
      <c r="O348" s="17" t="s">
        <v>1066</v>
      </c>
      <c r="P348" s="17" t="s">
        <v>148</v>
      </c>
      <c r="Q348" s="17" t="s">
        <v>1064</v>
      </c>
      <c r="R348" s="17" t="s">
        <v>1066</v>
      </c>
      <c r="S348" s="17" t="s">
        <v>147</v>
      </c>
      <c r="T348" s="17" t="s">
        <v>146</v>
      </c>
      <c r="U348" s="17" t="s">
        <v>251</v>
      </c>
      <c r="V348" s="17"/>
      <c r="W348" s="17"/>
    </row>
    <row r="349" spans="1:23" x14ac:dyDescent="0.45">
      <c r="A349" s="17" t="s">
        <v>254</v>
      </c>
      <c r="B349" s="22">
        <v>46066</v>
      </c>
      <c r="C349" s="17">
        <v>151351958</v>
      </c>
      <c r="D349" s="26">
        <f>IFERROR(SUMIF(Servicios_Promotores!$B:$B,C349,Servicios_Promotores!$R:$R),0)</f>
        <v>75.000000009999994</v>
      </c>
      <c r="E349" s="26">
        <f>IFERROR(SUMIF(Pago_GERE!$B:$B,C349,Pago_GERE!$R:$R),0)</f>
        <v>75.000000009999994</v>
      </c>
      <c r="F349" s="26">
        <f>IFERROR(SUMIF(Hoja2!$H:$H,C349,Hoja2!$U:$U),0)</f>
        <v>0</v>
      </c>
      <c r="G349" s="17" t="str">
        <f>IFERROR(VLOOKUP(C349,Hoja3!$C:$D,2,FALSE),"")</f>
        <v>JERANY</v>
      </c>
      <c r="H349" s="22">
        <v>46069</v>
      </c>
      <c r="I349" s="17" t="s">
        <v>152</v>
      </c>
      <c r="J349" s="17" t="s">
        <v>151</v>
      </c>
      <c r="K349" s="17" t="s">
        <v>62</v>
      </c>
      <c r="L349" s="17">
        <v>10000064</v>
      </c>
      <c r="M349" s="17" t="s">
        <v>758</v>
      </c>
      <c r="N349" s="17">
        <v>22381211</v>
      </c>
      <c r="O349" s="17" t="s">
        <v>757</v>
      </c>
      <c r="P349" s="17" t="s">
        <v>188</v>
      </c>
      <c r="Q349" s="17" t="s">
        <v>253</v>
      </c>
      <c r="R349" s="17" t="s">
        <v>757</v>
      </c>
      <c r="S349" s="17" t="s">
        <v>147</v>
      </c>
      <c r="T349" s="17" t="s">
        <v>187</v>
      </c>
      <c r="U349" s="17" t="s">
        <v>251</v>
      </c>
      <c r="V349" s="17" t="s">
        <v>756</v>
      </c>
      <c r="W349" s="17" t="s">
        <v>755</v>
      </c>
    </row>
    <row r="350" spans="1:23" x14ac:dyDescent="0.45">
      <c r="A350" s="17" t="s">
        <v>1065</v>
      </c>
      <c r="B350" s="22">
        <v>46133</v>
      </c>
      <c r="C350" s="17">
        <v>151470618</v>
      </c>
      <c r="D350" s="26">
        <f>IFERROR(SUMIF(Servicios_Promotores!$B:$B,C350,Servicios_Promotores!$R:$R),0)</f>
        <v>0</v>
      </c>
      <c r="E350" s="26">
        <f>IFERROR(SUMIF(Pago_GERE!$B:$B,C350,Pago_GERE!$R:$R),0)</f>
        <v>0</v>
      </c>
      <c r="F350" s="26">
        <f>IFERROR(SUMIF(Hoja2!$H:$H,C350,Hoja2!$U:$U),0)</f>
        <v>0</v>
      </c>
      <c r="G350" s="17" t="str">
        <f>IFERROR(VLOOKUP(C350,Hoja3!$C:$D,2,FALSE),"")</f>
        <v>JOSE HERIBERTO</v>
      </c>
      <c r="H350" s="17"/>
      <c r="I350" s="17" t="s">
        <v>152</v>
      </c>
      <c r="J350" s="17" t="s">
        <v>165</v>
      </c>
      <c r="K350" s="17" t="s">
        <v>36</v>
      </c>
      <c r="L350" s="17">
        <v>10000064</v>
      </c>
      <c r="M350" s="17" t="s">
        <v>181</v>
      </c>
      <c r="N350" s="17">
        <v>24508968</v>
      </c>
      <c r="O350" s="17" t="s">
        <v>1095</v>
      </c>
      <c r="P350" s="17" t="s">
        <v>482</v>
      </c>
      <c r="Q350" s="17" t="s">
        <v>1070</v>
      </c>
      <c r="R350" s="17" t="s">
        <v>1095</v>
      </c>
      <c r="S350" s="17" t="s">
        <v>147</v>
      </c>
      <c r="T350" s="17" t="s">
        <v>480</v>
      </c>
      <c r="U350" s="17" t="s">
        <v>251</v>
      </c>
      <c r="V350" s="17"/>
      <c r="W350" s="17"/>
    </row>
    <row r="351" spans="1:23" x14ac:dyDescent="0.45">
      <c r="A351" s="17" t="s">
        <v>254</v>
      </c>
      <c r="B351" s="22">
        <v>46139</v>
      </c>
      <c r="C351" s="17">
        <v>151479237</v>
      </c>
      <c r="D351" s="26">
        <f>IFERROR(SUMIF(Servicios_Promotores!$B:$B,C351,Servicios_Promotores!$R:$R),0)</f>
        <v>262.99999998999999</v>
      </c>
      <c r="E351" s="26">
        <f>IFERROR(SUMIF(Pago_GERE!$B:$B,C351,Pago_GERE!$R:$R),0)</f>
        <v>187.00000001799998</v>
      </c>
      <c r="F351" s="26">
        <f>IFERROR(SUMIF(Hoja2!$H:$H,C351,Hoja2!$U:$U),0)</f>
        <v>0</v>
      </c>
      <c r="G351" s="17" t="str">
        <f>IFERROR(VLOOKUP(C351,Hoja3!$C:$D,2,FALSE),"")</f>
        <v>JOSE HERIBERTO</v>
      </c>
      <c r="H351" s="22">
        <v>46141</v>
      </c>
      <c r="I351" s="17" t="s">
        <v>197</v>
      </c>
      <c r="J351" s="17" t="s">
        <v>165</v>
      </c>
      <c r="K351" s="17" t="s">
        <v>42</v>
      </c>
      <c r="L351" s="17">
        <v>10000064</v>
      </c>
      <c r="M351" s="17" t="s">
        <v>181</v>
      </c>
      <c r="N351" s="17">
        <v>24675427</v>
      </c>
      <c r="O351" s="17" t="s">
        <v>507</v>
      </c>
      <c r="P351" s="17" t="s">
        <v>148</v>
      </c>
      <c r="Q351" s="17" t="s">
        <v>253</v>
      </c>
      <c r="R351" s="17" t="s">
        <v>507</v>
      </c>
      <c r="S351" s="17" t="s">
        <v>147</v>
      </c>
      <c r="T351" s="17" t="s">
        <v>146</v>
      </c>
      <c r="U351" s="17" t="s">
        <v>251</v>
      </c>
      <c r="V351" s="17" t="s">
        <v>502</v>
      </c>
      <c r="W351" s="17" t="s">
        <v>501</v>
      </c>
    </row>
    <row r="352" spans="1:23" x14ac:dyDescent="0.45">
      <c r="A352" s="17" t="s">
        <v>254</v>
      </c>
      <c r="B352" s="22">
        <v>46135</v>
      </c>
      <c r="C352" s="17">
        <v>151473856</v>
      </c>
      <c r="D352" s="26">
        <f>IFERROR(SUMIF(Servicios_Promotores!$B:$B,C352,Servicios_Promotores!$R:$R),0)</f>
        <v>262.99999998999999</v>
      </c>
      <c r="E352" s="26">
        <f>IFERROR(SUMIF(Pago_GERE!$B:$B,C352,Pago_GERE!$R:$R),0)</f>
        <v>187.00000001799998</v>
      </c>
      <c r="F352" s="26">
        <f>IFERROR(SUMIF(Hoja2!$H:$H,C352,Hoja2!$U:$U),0)</f>
        <v>0</v>
      </c>
      <c r="G352" s="17" t="str">
        <f>IFERROR(VLOOKUP(C352,Hoja3!$C:$D,2,FALSE),"")</f>
        <v>JOSE HERIBERTO</v>
      </c>
      <c r="H352" s="22">
        <v>46141</v>
      </c>
      <c r="I352" s="17" t="s">
        <v>152</v>
      </c>
      <c r="J352" s="17" t="s">
        <v>165</v>
      </c>
      <c r="K352" s="17" t="s">
        <v>42</v>
      </c>
      <c r="L352" s="17">
        <v>10000064</v>
      </c>
      <c r="M352" s="17" t="s">
        <v>181</v>
      </c>
      <c r="N352" s="17">
        <v>24548366</v>
      </c>
      <c r="O352" s="17" t="s">
        <v>495</v>
      </c>
      <c r="P352" s="17" t="s">
        <v>224</v>
      </c>
      <c r="Q352" s="17" t="s">
        <v>253</v>
      </c>
      <c r="R352" s="17" t="s">
        <v>495</v>
      </c>
      <c r="S352" s="17" t="s">
        <v>147</v>
      </c>
      <c r="T352" s="17" t="s">
        <v>223</v>
      </c>
      <c r="U352" s="17" t="s">
        <v>251</v>
      </c>
      <c r="V352" s="17" t="s">
        <v>494</v>
      </c>
      <c r="W352" s="17" t="s">
        <v>264</v>
      </c>
    </row>
    <row r="353" spans="1:23" x14ac:dyDescent="0.45">
      <c r="A353" s="17" t="s">
        <v>254</v>
      </c>
      <c r="B353" s="22">
        <v>46134</v>
      </c>
      <c r="C353" s="17">
        <v>151472537</v>
      </c>
      <c r="D353" s="26">
        <f>IFERROR(SUMIF(Servicios_Promotores!$B:$B,C353,Servicios_Promotores!$R:$R),0)</f>
        <v>262.99999998999999</v>
      </c>
      <c r="E353" s="26">
        <f>IFERROR(SUMIF(Pago_GERE!$B:$B,C353,Pago_GERE!$R:$R),0)</f>
        <v>187.00000001799998</v>
      </c>
      <c r="F353" s="26">
        <f>IFERROR(SUMIF(Hoja2!$H:$H,C353,Hoja2!$U:$U),0)</f>
        <v>0</v>
      </c>
      <c r="G353" s="17" t="str">
        <f>IFERROR(VLOOKUP(C353,Hoja3!$C:$D,2,FALSE),"")</f>
        <v>JOSE HERIBERTO</v>
      </c>
      <c r="H353" s="22">
        <v>46140</v>
      </c>
      <c r="I353" s="17" t="s">
        <v>152</v>
      </c>
      <c r="J353" s="17" t="s">
        <v>165</v>
      </c>
      <c r="K353" s="17" t="s">
        <v>42</v>
      </c>
      <c r="L353" s="17">
        <v>10000064</v>
      </c>
      <c r="M353" s="17" t="s">
        <v>181</v>
      </c>
      <c r="N353" s="17">
        <v>24648061</v>
      </c>
      <c r="O353" s="17" t="s">
        <v>493</v>
      </c>
      <c r="P353" s="17" t="s">
        <v>148</v>
      </c>
      <c r="Q353" s="17" t="s">
        <v>253</v>
      </c>
      <c r="R353" s="17" t="s">
        <v>493</v>
      </c>
      <c r="S353" s="17" t="s">
        <v>147</v>
      </c>
      <c r="T353" s="17" t="s">
        <v>146</v>
      </c>
      <c r="U353" s="17" t="s">
        <v>251</v>
      </c>
      <c r="V353" s="17" t="s">
        <v>492</v>
      </c>
      <c r="W353" s="17" t="s">
        <v>321</v>
      </c>
    </row>
    <row r="354" spans="1:23" x14ac:dyDescent="0.45">
      <c r="A354" s="17" t="s">
        <v>254</v>
      </c>
      <c r="B354" s="22">
        <v>46147</v>
      </c>
      <c r="C354" s="17">
        <v>151492435</v>
      </c>
      <c r="D354" s="26">
        <f>IFERROR(SUMIF(Servicios_Promotores!$B:$B,C354,Servicios_Promotores!$R:$R),0)</f>
        <v>262.99999998999999</v>
      </c>
      <c r="E354" s="26">
        <f>IFERROR(SUMIF(Pago_GERE!$B:$B,C354,Pago_GERE!$R:$R),0)</f>
        <v>187.000000005</v>
      </c>
      <c r="F354" s="26">
        <f>IFERROR(SUMIF(Hoja2!$H:$H,C354,Hoja2!$U:$U),0)</f>
        <v>0</v>
      </c>
      <c r="G354" s="17" t="str">
        <f>IFERROR(VLOOKUP(C354,Hoja3!$C:$D,2,FALSE),"")</f>
        <v>JOSE HERIBERTO</v>
      </c>
      <c r="H354" s="22">
        <v>46149</v>
      </c>
      <c r="I354" s="17" t="s">
        <v>163</v>
      </c>
      <c r="J354" s="17" t="s">
        <v>151</v>
      </c>
      <c r="K354" s="17" t="s">
        <v>39</v>
      </c>
      <c r="L354" s="17">
        <v>10000064</v>
      </c>
      <c r="M354" s="17" t="s">
        <v>181</v>
      </c>
      <c r="N354" s="17">
        <v>24837847</v>
      </c>
      <c r="O354" s="17" t="s">
        <v>277</v>
      </c>
      <c r="P354" s="17" t="s">
        <v>170</v>
      </c>
      <c r="Q354" s="17" t="s">
        <v>253</v>
      </c>
      <c r="R354" s="17" t="s">
        <v>277</v>
      </c>
      <c r="S354" s="17" t="s">
        <v>147</v>
      </c>
      <c r="T354" s="17" t="s">
        <v>169</v>
      </c>
      <c r="U354" s="17" t="s">
        <v>251</v>
      </c>
      <c r="V354" s="17" t="s">
        <v>276</v>
      </c>
      <c r="W354" s="17" t="s">
        <v>275</v>
      </c>
    </row>
    <row r="355" spans="1:23" x14ac:dyDescent="0.45">
      <c r="A355" s="17" t="s">
        <v>254</v>
      </c>
      <c r="B355" s="22">
        <v>46146</v>
      </c>
      <c r="C355" s="17">
        <v>151488756</v>
      </c>
      <c r="D355" s="26">
        <f>IFERROR(SUMIF(Servicios_Promotores!$B:$B,C355,Servicios_Promotores!$R:$R),0)</f>
        <v>262.99999998999999</v>
      </c>
      <c r="E355" s="26">
        <f>IFERROR(SUMIF(Pago_GERE!$B:$B,C355,Pago_GERE!$R:$R),0)</f>
        <v>187.000000005</v>
      </c>
      <c r="F355" s="26">
        <f>IFERROR(SUMIF(Hoja2!$H:$H,C355,Hoja2!$U:$U),0)</f>
        <v>0</v>
      </c>
      <c r="G355" s="17" t="str">
        <f>IFERROR(VLOOKUP(C355,Hoja3!$C:$D,2,FALSE),"")</f>
        <v>JOSE HERIBERTO</v>
      </c>
      <c r="H355" s="22">
        <v>46147</v>
      </c>
      <c r="I355" s="17" t="s">
        <v>152</v>
      </c>
      <c r="J355" s="17" t="s">
        <v>165</v>
      </c>
      <c r="K355" s="17" t="s">
        <v>55</v>
      </c>
      <c r="L355" s="17">
        <v>10000064</v>
      </c>
      <c r="M355" s="17" t="s">
        <v>181</v>
      </c>
      <c r="N355" s="17">
        <v>24776504</v>
      </c>
      <c r="O355" s="17" t="s">
        <v>263</v>
      </c>
      <c r="P355" s="17" t="s">
        <v>222</v>
      </c>
      <c r="Q355" s="17" t="s">
        <v>253</v>
      </c>
      <c r="R355" s="17" t="s">
        <v>263</v>
      </c>
      <c r="S355" s="17" t="s">
        <v>147</v>
      </c>
      <c r="T355" s="17" t="s">
        <v>55</v>
      </c>
      <c r="U355" s="17" t="s">
        <v>251</v>
      </c>
      <c r="V355" s="17" t="s">
        <v>262</v>
      </c>
      <c r="W355" s="17" t="s">
        <v>261</v>
      </c>
    </row>
    <row r="356" spans="1:23" x14ac:dyDescent="0.45">
      <c r="A356" s="17" t="s">
        <v>254</v>
      </c>
      <c r="B356" s="22">
        <v>46143</v>
      </c>
      <c r="C356" s="17">
        <v>151486768</v>
      </c>
      <c r="D356" s="26">
        <f>IFERROR(SUMIF(Servicios_Promotores!$B:$B,C356,Servicios_Promotores!$R:$R),0)</f>
        <v>262.99999998999999</v>
      </c>
      <c r="E356" s="26">
        <f>IFERROR(SUMIF(Pago_GERE!$B:$B,C356,Pago_GERE!$R:$R),0)</f>
        <v>187.000000005</v>
      </c>
      <c r="F356" s="26">
        <f>IFERROR(SUMIF(Hoja2!$H:$H,C356,Hoja2!$U:$U),0)</f>
        <v>0</v>
      </c>
      <c r="G356" s="17" t="str">
        <f>IFERROR(VLOOKUP(C356,Hoja3!$C:$D,2,FALSE),"")</f>
        <v>JOSE HERIBERTO</v>
      </c>
      <c r="H356" s="22">
        <v>46149</v>
      </c>
      <c r="I356" s="17" t="s">
        <v>197</v>
      </c>
      <c r="J356" s="17" t="s">
        <v>165</v>
      </c>
      <c r="K356" s="17" t="s">
        <v>55</v>
      </c>
      <c r="L356" s="17">
        <v>10000064</v>
      </c>
      <c r="M356" s="17" t="s">
        <v>181</v>
      </c>
      <c r="N356" s="17">
        <v>24867956</v>
      </c>
      <c r="O356" s="17" t="s">
        <v>252</v>
      </c>
      <c r="P356" s="17" t="s">
        <v>221</v>
      </c>
      <c r="Q356" s="17" t="s">
        <v>253</v>
      </c>
      <c r="R356" s="17" t="s">
        <v>252</v>
      </c>
      <c r="S356" s="17" t="s">
        <v>147</v>
      </c>
      <c r="T356" s="17" t="s">
        <v>55</v>
      </c>
      <c r="U356" s="17" t="s">
        <v>251</v>
      </c>
      <c r="V356" s="17" t="s">
        <v>250</v>
      </c>
      <c r="W356" s="17" t="s">
        <v>249</v>
      </c>
    </row>
    <row r="357" spans="1:23" x14ac:dyDescent="0.45">
      <c r="A357" s="17" t="s">
        <v>1065</v>
      </c>
      <c r="B357" s="22">
        <v>46162</v>
      </c>
      <c r="C357" s="17">
        <v>151517318</v>
      </c>
      <c r="D357" s="26">
        <f>IFERROR(SUMIF(Servicios_Promotores!$B:$B,C357,Servicios_Promotores!$R:$R),0)</f>
        <v>0</v>
      </c>
      <c r="E357" s="26">
        <f>IFERROR(SUMIF(Pago_GERE!$B:$B,C357,Pago_GERE!$R:$R),0)</f>
        <v>0</v>
      </c>
      <c r="F357" s="26">
        <f>IFERROR(SUMIF(Hoja2!$H:$H,C357,Hoja2!$U:$U),0)</f>
        <v>0</v>
      </c>
      <c r="G357" s="17" t="str">
        <f>IFERROR(VLOOKUP(C357,Hoja3!$C:$D,2,FALSE),"")</f>
        <v>JOSE HERIBERTO</v>
      </c>
      <c r="H357" s="17"/>
      <c r="I357" s="17" t="s">
        <v>163</v>
      </c>
      <c r="J357" s="17" t="s">
        <v>151</v>
      </c>
      <c r="K357" s="17" t="s">
        <v>101</v>
      </c>
      <c r="L357" s="17">
        <v>10000064</v>
      </c>
      <c r="M357" s="17" t="s">
        <v>161</v>
      </c>
      <c r="N357" s="17">
        <v>25243576</v>
      </c>
      <c r="O357" s="17" t="s">
        <v>1075</v>
      </c>
      <c r="P357" s="17" t="s">
        <v>156</v>
      </c>
      <c r="Q357" s="17" t="s">
        <v>1070</v>
      </c>
      <c r="R357" s="17" t="s">
        <v>1075</v>
      </c>
      <c r="S357" s="17" t="s">
        <v>147</v>
      </c>
      <c r="T357" s="17" t="s">
        <v>154</v>
      </c>
      <c r="U357" s="17" t="s">
        <v>251</v>
      </c>
      <c r="V357" s="17"/>
      <c r="W357" s="17"/>
    </row>
    <row r="358" spans="1:23" x14ac:dyDescent="0.45">
      <c r="A358" s="17" t="s">
        <v>254</v>
      </c>
      <c r="B358" s="22">
        <v>46162</v>
      </c>
      <c r="C358" s="17">
        <v>151517000</v>
      </c>
      <c r="D358" s="26">
        <f>IFERROR(SUMIF(Servicios_Promotores!$B:$B,C358,Servicios_Promotores!$R:$R),0)</f>
        <v>0</v>
      </c>
      <c r="E358" s="26">
        <f>IFERROR(SUMIF(Pago_GERE!$B:$B,C358,Pago_GERE!$R:$R),0)</f>
        <v>0</v>
      </c>
      <c r="F358" s="26">
        <f>IFERROR(SUMIF(Hoja2!$H:$H,C358,Hoja2!$U:$U),0)</f>
        <v>0</v>
      </c>
      <c r="G358" s="17" t="str">
        <f>IFERROR(VLOOKUP(C358,Hoja3!$C:$D,2,FALSE),"")</f>
        <v>JOSE HERIBERTO</v>
      </c>
      <c r="H358" s="22">
        <v>46168</v>
      </c>
      <c r="I358" s="17" t="s">
        <v>163</v>
      </c>
      <c r="J358" s="17" t="s">
        <v>151</v>
      </c>
      <c r="K358" s="17" t="s">
        <v>101</v>
      </c>
      <c r="L358" s="17">
        <v>10000064</v>
      </c>
      <c r="M358" s="17" t="s">
        <v>161</v>
      </c>
      <c r="N358" s="17">
        <v>25243105</v>
      </c>
      <c r="O358" s="17" t="s">
        <v>380</v>
      </c>
      <c r="P358" s="17" t="s">
        <v>156</v>
      </c>
      <c r="Q358" s="17" t="s">
        <v>253</v>
      </c>
      <c r="R358" s="17" t="s">
        <v>380</v>
      </c>
      <c r="S358" s="17" t="s">
        <v>147</v>
      </c>
      <c r="T358" s="17" t="s">
        <v>154</v>
      </c>
      <c r="U358" s="17" t="s">
        <v>251</v>
      </c>
      <c r="V358" s="17"/>
      <c r="W358" s="17"/>
    </row>
    <row r="359" spans="1:23" x14ac:dyDescent="0.45">
      <c r="A359" s="17" t="s">
        <v>254</v>
      </c>
      <c r="B359" s="22">
        <v>46156</v>
      </c>
      <c r="C359" s="17">
        <v>151506866</v>
      </c>
      <c r="D359" s="26">
        <f>IFERROR(SUMIF(Servicios_Promotores!$B:$B,C359,Servicios_Promotores!$R:$R),0)</f>
        <v>0</v>
      </c>
      <c r="E359" s="26">
        <f>IFERROR(SUMIF(Pago_GERE!$B:$B,C359,Pago_GERE!$R:$R),0)</f>
        <v>0</v>
      </c>
      <c r="F359" s="26">
        <f>IFERROR(SUMIF(Hoja2!$H:$H,C359,Hoja2!$U:$U),0)</f>
        <v>0</v>
      </c>
      <c r="G359" s="17" t="str">
        <f>IFERROR(VLOOKUP(C359,Hoja3!$C:$D,2,FALSE),"")</f>
        <v>JOSE HERIBERTO</v>
      </c>
      <c r="H359" s="22">
        <v>46157</v>
      </c>
      <c r="I359" s="17" t="s">
        <v>163</v>
      </c>
      <c r="J359" s="17" t="s">
        <v>151</v>
      </c>
      <c r="K359" s="17" t="s">
        <v>55</v>
      </c>
      <c r="L359" s="17">
        <v>10000064</v>
      </c>
      <c r="M359" s="17" t="s">
        <v>161</v>
      </c>
      <c r="N359" s="17">
        <v>25106089</v>
      </c>
      <c r="O359" s="17" t="s">
        <v>379</v>
      </c>
      <c r="P359" s="17" t="s">
        <v>296</v>
      </c>
      <c r="Q359" s="17" t="s">
        <v>253</v>
      </c>
      <c r="R359" s="17" t="s">
        <v>379</v>
      </c>
      <c r="S359" s="17" t="s">
        <v>147</v>
      </c>
      <c r="T359" s="17" t="s">
        <v>257</v>
      </c>
      <c r="U359" s="17" t="s">
        <v>251</v>
      </c>
      <c r="V359" s="17" t="s">
        <v>378</v>
      </c>
      <c r="W359" s="17" t="s">
        <v>377</v>
      </c>
    </row>
    <row r="360" spans="1:23" x14ac:dyDescent="0.45">
      <c r="A360" s="17" t="s">
        <v>254</v>
      </c>
      <c r="B360" s="22">
        <v>46157</v>
      </c>
      <c r="C360" s="17">
        <v>151509562</v>
      </c>
      <c r="D360" s="26">
        <f>IFERROR(SUMIF(Servicios_Promotores!$B:$B,C360,Servicios_Promotores!$R:$R),0)</f>
        <v>262.99999998999999</v>
      </c>
      <c r="E360" s="26">
        <f>IFERROR(SUMIF(Pago_GERE!$B:$B,C360,Pago_GERE!$R:$R),0)</f>
        <v>187.000000005</v>
      </c>
      <c r="F360" s="26">
        <f>IFERROR(SUMIF(Hoja2!$H:$H,C360,Hoja2!$U:$U),0)</f>
        <v>0</v>
      </c>
      <c r="G360" s="17" t="str">
        <f>IFERROR(VLOOKUP(C360,Hoja3!$C:$D,2,FALSE),"")</f>
        <v>JOSE HERIBERTO</v>
      </c>
      <c r="H360" s="22">
        <v>46160</v>
      </c>
      <c r="I360" s="17" t="s">
        <v>152</v>
      </c>
      <c r="J360" s="17" t="s">
        <v>165</v>
      </c>
      <c r="K360" s="17" t="s">
        <v>42</v>
      </c>
      <c r="L360" s="17">
        <v>10000064</v>
      </c>
      <c r="M360" s="17" t="s">
        <v>161</v>
      </c>
      <c r="N360" s="17">
        <v>25161429</v>
      </c>
      <c r="O360" s="17" t="s">
        <v>366</v>
      </c>
      <c r="P360" s="17" t="s">
        <v>367</v>
      </c>
      <c r="Q360" s="17" t="s">
        <v>253</v>
      </c>
      <c r="R360" s="17" t="s">
        <v>366</v>
      </c>
      <c r="S360" s="17" t="s">
        <v>147</v>
      </c>
      <c r="T360" s="17" t="s">
        <v>223</v>
      </c>
      <c r="U360" s="17" t="s">
        <v>251</v>
      </c>
      <c r="V360" s="17" t="s">
        <v>365</v>
      </c>
      <c r="W360" s="17" t="s">
        <v>364</v>
      </c>
    </row>
    <row r="361" spans="1:23" x14ac:dyDescent="0.45">
      <c r="A361" s="17" t="s">
        <v>254</v>
      </c>
      <c r="B361" s="22">
        <v>46157</v>
      </c>
      <c r="C361" s="17">
        <v>151509485</v>
      </c>
      <c r="D361" s="26">
        <f>IFERROR(SUMIF(Servicios_Promotores!$B:$B,C361,Servicios_Promotores!$R:$R),0)</f>
        <v>262.99999998999999</v>
      </c>
      <c r="E361" s="26">
        <f>IFERROR(SUMIF(Pago_GERE!$B:$B,C361,Pago_GERE!$R:$R),0)</f>
        <v>187.000000005</v>
      </c>
      <c r="F361" s="26">
        <f>IFERROR(SUMIF(Hoja2!$H:$H,C361,Hoja2!$U:$U),0)</f>
        <v>0</v>
      </c>
      <c r="G361" s="17" t="str">
        <f>IFERROR(VLOOKUP(C361,Hoja3!$C:$D,2,FALSE),"")</f>
        <v>JOSE HERIBERTO</v>
      </c>
      <c r="H361" s="22">
        <v>46159</v>
      </c>
      <c r="I361" s="17" t="s">
        <v>163</v>
      </c>
      <c r="J361" s="17" t="s">
        <v>151</v>
      </c>
      <c r="K361" s="17" t="s">
        <v>42</v>
      </c>
      <c r="L361" s="17">
        <v>10000064</v>
      </c>
      <c r="M361" s="17" t="s">
        <v>161</v>
      </c>
      <c r="N361" s="17">
        <v>25152467</v>
      </c>
      <c r="O361" s="17" t="s">
        <v>363</v>
      </c>
      <c r="P361" s="17" t="s">
        <v>148</v>
      </c>
      <c r="Q361" s="17" t="s">
        <v>253</v>
      </c>
      <c r="R361" s="17" t="s">
        <v>363</v>
      </c>
      <c r="S361" s="17" t="s">
        <v>147</v>
      </c>
      <c r="T361" s="17" t="s">
        <v>146</v>
      </c>
      <c r="U361" s="17" t="s">
        <v>251</v>
      </c>
      <c r="V361" s="17" t="s">
        <v>362</v>
      </c>
      <c r="W361" s="17" t="s">
        <v>361</v>
      </c>
    </row>
    <row r="362" spans="1:23" x14ac:dyDescent="0.45">
      <c r="A362" s="17" t="s">
        <v>254</v>
      </c>
      <c r="B362" s="22">
        <v>46162</v>
      </c>
      <c r="C362" s="17">
        <v>151516918</v>
      </c>
      <c r="D362" s="26">
        <f>IFERROR(SUMIF(Servicios_Promotores!$B:$B,C362,Servicios_Promotores!$R:$R),0)</f>
        <v>0</v>
      </c>
      <c r="E362" s="26">
        <f>IFERROR(SUMIF(Pago_GERE!$B:$B,C362,Pago_GERE!$R:$R),0)</f>
        <v>0</v>
      </c>
      <c r="F362" s="26">
        <f>IFERROR(SUMIF(Hoja2!$H:$H,C362,Hoja2!$U:$U),0)</f>
        <v>0</v>
      </c>
      <c r="G362" s="17" t="str">
        <f>IFERROR(VLOOKUP(C362,Hoja3!$C:$D,2,FALSE),"")</f>
        <v>JOSE HERIBERTO</v>
      </c>
      <c r="H362" s="22">
        <v>46163</v>
      </c>
      <c r="I362" s="17" t="s">
        <v>163</v>
      </c>
      <c r="J362" s="17" t="s">
        <v>151</v>
      </c>
      <c r="K362" s="17" t="s">
        <v>42</v>
      </c>
      <c r="L362" s="17">
        <v>10000064</v>
      </c>
      <c r="M362" s="17" t="s">
        <v>161</v>
      </c>
      <c r="N362" s="17">
        <v>25238533</v>
      </c>
      <c r="O362" s="17" t="s">
        <v>334</v>
      </c>
      <c r="P362" s="17" t="s">
        <v>148</v>
      </c>
      <c r="Q362" s="17" t="s">
        <v>253</v>
      </c>
      <c r="R362" s="17" t="s">
        <v>334</v>
      </c>
      <c r="S362" s="17" t="s">
        <v>147</v>
      </c>
      <c r="T362" s="17" t="s">
        <v>146</v>
      </c>
      <c r="U362" s="17" t="s">
        <v>251</v>
      </c>
      <c r="V362" s="17" t="s">
        <v>333</v>
      </c>
      <c r="W362" s="17" t="s">
        <v>332</v>
      </c>
    </row>
    <row r="363" spans="1:23" x14ac:dyDescent="0.45">
      <c r="A363" s="17" t="s">
        <v>254</v>
      </c>
      <c r="B363" s="22">
        <v>46153</v>
      </c>
      <c r="C363" s="17">
        <v>151501574</v>
      </c>
      <c r="D363" s="26">
        <f>IFERROR(SUMIF(Servicios_Promotores!$B:$B,C363,Servicios_Promotores!$R:$R),0)</f>
        <v>262.99999998999999</v>
      </c>
      <c r="E363" s="26">
        <f>IFERROR(SUMIF(Pago_GERE!$B:$B,C363,Pago_GERE!$R:$R),0)</f>
        <v>187.000000005</v>
      </c>
      <c r="F363" s="26">
        <f>IFERROR(SUMIF(Hoja2!$H:$H,C363,Hoja2!$U:$U),0)</f>
        <v>0</v>
      </c>
      <c r="G363" s="17" t="str">
        <f>IFERROR(VLOOKUP(C363,Hoja3!$C:$D,2,FALSE),"")</f>
        <v>JOSE HERIBERTO</v>
      </c>
      <c r="H363" s="22">
        <v>46157</v>
      </c>
      <c r="I363" s="17" t="s">
        <v>152</v>
      </c>
      <c r="J363" s="17" t="s">
        <v>165</v>
      </c>
      <c r="K363" s="17" t="s">
        <v>42</v>
      </c>
      <c r="L363" s="17">
        <v>10000064</v>
      </c>
      <c r="M363" s="17" t="s">
        <v>161</v>
      </c>
      <c r="N363" s="17">
        <v>25135115</v>
      </c>
      <c r="O363" s="17" t="s">
        <v>317</v>
      </c>
      <c r="P363" s="17" t="s">
        <v>148</v>
      </c>
      <c r="Q363" s="17" t="s">
        <v>253</v>
      </c>
      <c r="R363" s="17" t="s">
        <v>317</v>
      </c>
      <c r="S363" s="17" t="s">
        <v>147</v>
      </c>
      <c r="T363" s="17" t="s">
        <v>146</v>
      </c>
      <c r="U363" s="17" t="s">
        <v>251</v>
      </c>
      <c r="V363" s="17" t="s">
        <v>316</v>
      </c>
      <c r="W363" s="17" t="s">
        <v>315</v>
      </c>
    </row>
    <row r="364" spans="1:23" x14ac:dyDescent="0.45">
      <c r="A364" s="17" t="s">
        <v>254</v>
      </c>
      <c r="B364" s="22">
        <v>46153</v>
      </c>
      <c r="C364" s="17">
        <v>151501625</v>
      </c>
      <c r="D364" s="26">
        <f>IFERROR(SUMIF(Servicios_Promotores!$B:$B,C364,Servicios_Promotores!$R:$R),0)</f>
        <v>262.99999998999999</v>
      </c>
      <c r="E364" s="26">
        <f>IFERROR(SUMIF(Pago_GERE!$B:$B,C364,Pago_GERE!$R:$R),0)</f>
        <v>187.000000005</v>
      </c>
      <c r="F364" s="26">
        <f>IFERROR(SUMIF(Hoja2!$H:$H,C364,Hoja2!$U:$U),0)</f>
        <v>0</v>
      </c>
      <c r="G364" s="17" t="str">
        <f>IFERROR(VLOOKUP(C364,Hoja3!$C:$D,2,FALSE),"")</f>
        <v>JOSE HERIBERTO</v>
      </c>
      <c r="H364" s="22">
        <v>46154</v>
      </c>
      <c r="I364" s="17" t="s">
        <v>163</v>
      </c>
      <c r="J364" s="17" t="s">
        <v>151</v>
      </c>
      <c r="K364" s="17" t="s">
        <v>42</v>
      </c>
      <c r="L364" s="17">
        <v>10000064</v>
      </c>
      <c r="M364" s="17" t="s">
        <v>161</v>
      </c>
      <c r="N364" s="17">
        <v>25047591</v>
      </c>
      <c r="O364" s="17" t="s">
        <v>312</v>
      </c>
      <c r="P364" s="17" t="s">
        <v>148</v>
      </c>
      <c r="Q364" s="17" t="s">
        <v>253</v>
      </c>
      <c r="R364" s="17" t="s">
        <v>312</v>
      </c>
      <c r="S364" s="17" t="s">
        <v>147</v>
      </c>
      <c r="T364" s="17" t="s">
        <v>146</v>
      </c>
      <c r="U364" s="17" t="s">
        <v>251</v>
      </c>
      <c r="V364" s="17" t="s">
        <v>311</v>
      </c>
      <c r="W364" s="17" t="s">
        <v>310</v>
      </c>
    </row>
    <row r="365" spans="1:23" x14ac:dyDescent="0.45">
      <c r="A365" s="17"/>
      <c r="B365" s="22">
        <v>46162</v>
      </c>
      <c r="C365" s="17">
        <v>151515758</v>
      </c>
      <c r="D365" s="26">
        <f>IFERROR(SUMIF(Servicios_Promotores!$B:$B,C365,Servicios_Promotores!$R:$R),0)</f>
        <v>0</v>
      </c>
      <c r="E365" s="26">
        <f>IFERROR(SUMIF(Pago_GERE!$B:$B,C365,Pago_GERE!$R:$R),0)</f>
        <v>0</v>
      </c>
      <c r="F365" s="26">
        <f>IFERROR(SUMIF(Hoja2!$H:$H,C365,Hoja2!$U:$U),0)</f>
        <v>0</v>
      </c>
      <c r="G365" s="17" t="str">
        <f>IFERROR(VLOOKUP(C365,Hoja3!$C:$D,2,FALSE),"")</f>
        <v>JOSE HERIBERTO</v>
      </c>
      <c r="H365" s="17"/>
      <c r="I365" s="17" t="s">
        <v>163</v>
      </c>
      <c r="J365" s="17" t="s">
        <v>151</v>
      </c>
      <c r="K365" s="17" t="s">
        <v>42</v>
      </c>
      <c r="L365" s="17">
        <v>10000064</v>
      </c>
      <c r="M365" s="17" t="s">
        <v>161</v>
      </c>
      <c r="N365" s="17">
        <v>151515758</v>
      </c>
      <c r="O365" s="17"/>
      <c r="P365" s="17" t="s">
        <v>148</v>
      </c>
      <c r="Q365" s="17"/>
      <c r="R365" s="17"/>
      <c r="S365" s="17" t="s">
        <v>147</v>
      </c>
      <c r="T365" s="17" t="s">
        <v>146</v>
      </c>
      <c r="U365" s="17" t="s">
        <v>145</v>
      </c>
      <c r="V365" s="17"/>
      <c r="W365" s="17"/>
    </row>
    <row r="366" spans="1:23" x14ac:dyDescent="0.45">
      <c r="A366" s="17" t="s">
        <v>254</v>
      </c>
      <c r="B366" s="22">
        <v>46140</v>
      </c>
      <c r="C366" s="17">
        <v>151481807</v>
      </c>
      <c r="D366" s="26">
        <f>IFERROR(SUMIF(Servicios_Promotores!$B:$B,C366,Servicios_Promotores!$R:$R),0)</f>
        <v>249.99999998999999</v>
      </c>
      <c r="E366" s="26">
        <f>IFERROR(SUMIF(Pago_GERE!$B:$B,C366,Pago_GERE!$R:$R),0)</f>
        <v>150.00000001999999</v>
      </c>
      <c r="F366" s="26">
        <f>IFERROR(SUMIF(Hoja2!$H:$H,C366,Hoja2!$U:$U),0)</f>
        <v>0</v>
      </c>
      <c r="G366" s="17" t="str">
        <f>IFERROR(VLOOKUP(C366,Hoja3!$C:$D,2,FALSE),"")</f>
        <v>JOSE HERIBERTO</v>
      </c>
      <c r="H366" s="22">
        <v>46145</v>
      </c>
      <c r="I366" s="17" t="s">
        <v>163</v>
      </c>
      <c r="J366" s="17" t="s">
        <v>151</v>
      </c>
      <c r="K366" s="17" t="s">
        <v>42</v>
      </c>
      <c r="L366" s="17">
        <v>10001013</v>
      </c>
      <c r="M366" s="17" t="s">
        <v>157</v>
      </c>
      <c r="N366" s="17">
        <v>24655531</v>
      </c>
      <c r="O366" s="17" t="s">
        <v>513</v>
      </c>
      <c r="P366" s="17" t="s">
        <v>148</v>
      </c>
      <c r="Q366" s="17" t="s">
        <v>253</v>
      </c>
      <c r="R366" s="17" t="s">
        <v>513</v>
      </c>
      <c r="S366" s="17" t="s">
        <v>147</v>
      </c>
      <c r="T366" s="17" t="s">
        <v>146</v>
      </c>
      <c r="U366" s="17" t="s">
        <v>251</v>
      </c>
      <c r="V366" s="17" t="s">
        <v>512</v>
      </c>
      <c r="W366" s="17" t="s">
        <v>511</v>
      </c>
    </row>
    <row r="367" spans="1:23" x14ac:dyDescent="0.45">
      <c r="A367" s="17" t="s">
        <v>254</v>
      </c>
      <c r="B367" s="22">
        <v>46128</v>
      </c>
      <c r="C367" s="17">
        <v>151462960</v>
      </c>
      <c r="D367" s="26">
        <f>IFERROR(SUMIF(Servicios_Promotores!$B:$B,C367,Servicios_Promotores!$R:$R),0)</f>
        <v>262.99999998999999</v>
      </c>
      <c r="E367" s="26">
        <f>IFERROR(SUMIF(Pago_GERE!$B:$B,C367,Pago_GERE!$R:$R),0)</f>
        <v>187.00000001799998</v>
      </c>
      <c r="F367" s="26">
        <f>IFERROR(SUMIF(Hoja2!$H:$H,C367,Hoja2!$U:$U),0)</f>
        <v>0</v>
      </c>
      <c r="G367" s="17" t="str">
        <f>IFERROR(VLOOKUP(C367,Hoja3!$C:$D,2,FALSE),"")</f>
        <v>JOSE HERIBERTO</v>
      </c>
      <c r="H367" s="22">
        <v>46130</v>
      </c>
      <c r="I367" s="17" t="s">
        <v>152</v>
      </c>
      <c r="J367" s="17" t="s">
        <v>165</v>
      </c>
      <c r="K367" s="17" t="s">
        <v>36</v>
      </c>
      <c r="L367" s="17">
        <v>10001013</v>
      </c>
      <c r="M367" s="17" t="s">
        <v>157</v>
      </c>
      <c r="N367" s="17">
        <v>24343153</v>
      </c>
      <c r="O367" s="17" t="s">
        <v>471</v>
      </c>
      <c r="P367" s="17" t="s">
        <v>403</v>
      </c>
      <c r="Q367" s="17" t="s">
        <v>253</v>
      </c>
      <c r="R367" s="17" t="s">
        <v>471</v>
      </c>
      <c r="S367" s="17" t="s">
        <v>147</v>
      </c>
      <c r="T367" s="17" t="s">
        <v>173</v>
      </c>
      <c r="U367" s="17" t="s">
        <v>251</v>
      </c>
      <c r="V367" s="17" t="s">
        <v>470</v>
      </c>
      <c r="W367" s="17" t="s">
        <v>469</v>
      </c>
    </row>
    <row r="368" spans="1:23" x14ac:dyDescent="0.45">
      <c r="A368" s="17" t="s">
        <v>254</v>
      </c>
      <c r="B368" s="22">
        <v>46160</v>
      </c>
      <c r="C368" s="17">
        <v>151512471</v>
      </c>
      <c r="D368" s="26">
        <f>IFERROR(SUMIF(Servicios_Promotores!$B:$B,C368,Servicios_Promotores!$R:$R),0)</f>
        <v>0</v>
      </c>
      <c r="E368" s="26">
        <f>IFERROR(SUMIF(Pago_GERE!$B:$B,C368,Pago_GERE!$R:$R),0)</f>
        <v>0</v>
      </c>
      <c r="F368" s="26">
        <f>IFERROR(SUMIF(Hoja2!$H:$H,C368,Hoja2!$U:$U),0)</f>
        <v>0</v>
      </c>
      <c r="G368" s="17" t="str">
        <f>IFERROR(VLOOKUP(C368,Hoja3!$C:$D,2,FALSE),"")</f>
        <v>JOSE HERIBERTO</v>
      </c>
      <c r="H368" s="22">
        <v>46161</v>
      </c>
      <c r="I368" s="17" t="s">
        <v>163</v>
      </c>
      <c r="J368" s="17" t="s">
        <v>151</v>
      </c>
      <c r="K368" s="17" t="s">
        <v>55</v>
      </c>
      <c r="L368" s="17">
        <v>10001013</v>
      </c>
      <c r="M368" s="17" t="s">
        <v>157</v>
      </c>
      <c r="N368" s="17">
        <v>25191968</v>
      </c>
      <c r="O368" s="17" t="s">
        <v>351</v>
      </c>
      <c r="P368" s="17" t="s">
        <v>296</v>
      </c>
      <c r="Q368" s="17" t="s">
        <v>253</v>
      </c>
      <c r="R368" s="17" t="s">
        <v>351</v>
      </c>
      <c r="S368" s="17" t="s">
        <v>147</v>
      </c>
      <c r="T368" s="17" t="s">
        <v>257</v>
      </c>
      <c r="U368" s="17" t="s">
        <v>251</v>
      </c>
      <c r="V368" s="17" t="s">
        <v>350</v>
      </c>
      <c r="W368" s="17" t="s">
        <v>349</v>
      </c>
    </row>
    <row r="369" spans="1:23" x14ac:dyDescent="0.45">
      <c r="A369" s="17" t="s">
        <v>254</v>
      </c>
      <c r="B369" s="22">
        <v>46150</v>
      </c>
      <c r="C369" s="17">
        <v>151498103</v>
      </c>
      <c r="D369" s="26">
        <f>IFERROR(SUMIF(Servicios_Promotores!$B:$B,C369,Servicios_Promotores!$R:$R),0)</f>
        <v>262.99999998999999</v>
      </c>
      <c r="E369" s="26">
        <f>IFERROR(SUMIF(Pago_GERE!$B:$B,C369,Pago_GERE!$R:$R),0)</f>
        <v>187.000000005</v>
      </c>
      <c r="F369" s="26">
        <f>IFERROR(SUMIF(Hoja2!$H:$H,C369,Hoja2!$U:$U),0)</f>
        <v>0</v>
      </c>
      <c r="G369" s="17" t="str">
        <f>IFERROR(VLOOKUP(C369,Hoja3!$C:$D,2,FALSE),"")</f>
        <v>JOSE HERIBERTO</v>
      </c>
      <c r="H369" s="22">
        <v>46151</v>
      </c>
      <c r="I369" s="17" t="s">
        <v>152</v>
      </c>
      <c r="J369" s="17" t="s">
        <v>151</v>
      </c>
      <c r="K369" s="17" t="s">
        <v>55</v>
      </c>
      <c r="L369" s="17">
        <v>10001013</v>
      </c>
      <c r="M369" s="17" t="s">
        <v>157</v>
      </c>
      <c r="N369" s="17">
        <v>24917652</v>
      </c>
      <c r="O369" s="17" t="s">
        <v>295</v>
      </c>
      <c r="P369" s="17" t="s">
        <v>296</v>
      </c>
      <c r="Q369" s="17" t="s">
        <v>253</v>
      </c>
      <c r="R369" s="17" t="s">
        <v>295</v>
      </c>
      <c r="S369" s="17" t="s">
        <v>147</v>
      </c>
      <c r="T369" s="17" t="s">
        <v>257</v>
      </c>
      <c r="U369" s="17" t="s">
        <v>251</v>
      </c>
      <c r="V369" s="17" t="s">
        <v>294</v>
      </c>
      <c r="W369" s="17" t="s">
        <v>293</v>
      </c>
    </row>
    <row r="370" spans="1:23" x14ac:dyDescent="0.45">
      <c r="A370" s="17" t="s">
        <v>254</v>
      </c>
      <c r="B370" s="22">
        <v>46150</v>
      </c>
      <c r="C370" s="17">
        <v>151498119</v>
      </c>
      <c r="D370" s="26">
        <f>IFERROR(SUMIF(Servicios_Promotores!$B:$B,C370,Servicios_Promotores!$R:$R),0)</f>
        <v>262.99999998999999</v>
      </c>
      <c r="E370" s="26">
        <f>IFERROR(SUMIF(Pago_GERE!$B:$B,C370,Pago_GERE!$R:$R),0)</f>
        <v>187.000000005</v>
      </c>
      <c r="F370" s="26">
        <f>IFERROR(SUMIF(Hoja2!$H:$H,C370,Hoja2!$U:$U),0)</f>
        <v>0</v>
      </c>
      <c r="G370" s="17" t="str">
        <f>IFERROR(VLOOKUP(C370,Hoja3!$C:$D,2,FALSE),"")</f>
        <v>JOSE HERIBERTO</v>
      </c>
      <c r="H370" s="22">
        <v>46154</v>
      </c>
      <c r="I370" s="17" t="s">
        <v>152</v>
      </c>
      <c r="J370" s="17" t="s">
        <v>165</v>
      </c>
      <c r="K370" s="17" t="s">
        <v>39</v>
      </c>
      <c r="L370" s="17">
        <v>10001013</v>
      </c>
      <c r="M370" s="17" t="s">
        <v>157</v>
      </c>
      <c r="N370" s="17">
        <v>25067369</v>
      </c>
      <c r="O370" s="17" t="s">
        <v>292</v>
      </c>
      <c r="P370" s="17" t="s">
        <v>170</v>
      </c>
      <c r="Q370" s="17" t="s">
        <v>253</v>
      </c>
      <c r="R370" s="17" t="s">
        <v>292</v>
      </c>
      <c r="S370" s="17" t="s">
        <v>147</v>
      </c>
      <c r="T370" s="17" t="s">
        <v>169</v>
      </c>
      <c r="U370" s="17" t="s">
        <v>251</v>
      </c>
      <c r="V370" s="17"/>
      <c r="W370" s="17"/>
    </row>
    <row r="371" spans="1:23" x14ac:dyDescent="0.45">
      <c r="A371" s="17" t="s">
        <v>1065</v>
      </c>
      <c r="B371" s="22">
        <v>46139</v>
      </c>
      <c r="C371" s="17">
        <v>151479422</v>
      </c>
      <c r="D371" s="26">
        <f>IFERROR(SUMIF(Servicios_Promotores!$B:$B,C371,Servicios_Promotores!$R:$R),0)</f>
        <v>0</v>
      </c>
      <c r="E371" s="26">
        <f>IFERROR(SUMIF(Pago_GERE!$B:$B,C371,Pago_GERE!$R:$R),0)</f>
        <v>0</v>
      </c>
      <c r="F371" s="26">
        <f>IFERROR(SUMIF(Hoja2!$H:$H,C371,Hoja2!$U:$U),0)</f>
        <v>0</v>
      </c>
      <c r="G371" s="17" t="str">
        <f>IFERROR(VLOOKUP(C371,Hoja3!$C:$D,2,FALSE),"")</f>
        <v>JOSE DAVID</v>
      </c>
      <c r="H371" s="17"/>
      <c r="I371" s="17" t="s">
        <v>158</v>
      </c>
      <c r="J371" s="17" t="s">
        <v>151</v>
      </c>
      <c r="K371" s="17" t="s">
        <v>42</v>
      </c>
      <c r="L371" s="17">
        <v>10000064</v>
      </c>
      <c r="M371" s="17" t="s">
        <v>181</v>
      </c>
      <c r="N371" s="17">
        <v>24621980</v>
      </c>
      <c r="O371" s="17" t="s">
        <v>1099</v>
      </c>
      <c r="P371" s="17" t="s">
        <v>148</v>
      </c>
      <c r="Q371" s="17" t="s">
        <v>1064</v>
      </c>
      <c r="R371" s="17" t="s">
        <v>1099</v>
      </c>
      <c r="S371" s="17" t="s">
        <v>155</v>
      </c>
      <c r="T371" s="17" t="s">
        <v>146</v>
      </c>
      <c r="U371" s="17" t="s">
        <v>251</v>
      </c>
      <c r="V371" s="17"/>
      <c r="W371" s="17"/>
    </row>
    <row r="372" spans="1:23" x14ac:dyDescent="0.45">
      <c r="A372" s="17" t="s">
        <v>1065</v>
      </c>
      <c r="B372" s="22">
        <v>46136</v>
      </c>
      <c r="C372" s="17">
        <v>151475967</v>
      </c>
      <c r="D372" s="26">
        <f>IFERROR(SUMIF(Servicios_Promotores!$B:$B,C372,Servicios_Promotores!$R:$R),0)</f>
        <v>0</v>
      </c>
      <c r="E372" s="26">
        <f>IFERROR(SUMIF(Pago_GERE!$B:$B,C372,Pago_GERE!$R:$R),0)</f>
        <v>0</v>
      </c>
      <c r="F372" s="26">
        <f>IFERROR(SUMIF(Hoja2!$H:$H,C372,Hoja2!$U:$U),0)</f>
        <v>0</v>
      </c>
      <c r="G372" s="17" t="str">
        <f>IFERROR(VLOOKUP(C372,Hoja3!$C:$D,2,FALSE),"")</f>
        <v>JOSE DAVID</v>
      </c>
      <c r="H372" s="17"/>
      <c r="I372" s="17" t="s">
        <v>152</v>
      </c>
      <c r="J372" s="17" t="s">
        <v>165</v>
      </c>
      <c r="K372" s="17" t="s">
        <v>42</v>
      </c>
      <c r="L372" s="17">
        <v>10000064</v>
      </c>
      <c r="M372" s="17" t="s">
        <v>181</v>
      </c>
      <c r="N372" s="17">
        <v>24598604</v>
      </c>
      <c r="O372" s="17" t="s">
        <v>1098</v>
      </c>
      <c r="P372" s="17" t="s">
        <v>367</v>
      </c>
      <c r="Q372" s="17" t="s">
        <v>1070</v>
      </c>
      <c r="R372" s="17" t="s">
        <v>1098</v>
      </c>
      <c r="S372" s="17" t="s">
        <v>147</v>
      </c>
      <c r="T372" s="17" t="s">
        <v>223</v>
      </c>
      <c r="U372" s="17" t="s">
        <v>251</v>
      </c>
      <c r="V372" s="17"/>
      <c r="W372" s="17"/>
    </row>
    <row r="373" spans="1:23" x14ac:dyDescent="0.45">
      <c r="A373" s="17" t="s">
        <v>1065</v>
      </c>
      <c r="B373" s="22">
        <v>46143</v>
      </c>
      <c r="C373" s="17">
        <v>151486006</v>
      </c>
      <c r="D373" s="26">
        <f>IFERROR(SUMIF(Servicios_Promotores!$B:$B,C373,Servicios_Promotores!$R:$R),0)</f>
        <v>0</v>
      </c>
      <c r="E373" s="26">
        <f>IFERROR(SUMIF(Pago_GERE!$B:$B,C373,Pago_GERE!$R:$R),0)</f>
        <v>0</v>
      </c>
      <c r="F373" s="26">
        <f>IFERROR(SUMIF(Hoja2!$H:$H,C373,Hoja2!$U:$U),0)</f>
        <v>0</v>
      </c>
      <c r="G373" s="17" t="str">
        <f>IFERROR(VLOOKUP(C373,Hoja3!$C:$D,2,FALSE),"")</f>
        <v>JOSE DAVID</v>
      </c>
      <c r="H373" s="17"/>
      <c r="I373" s="17" t="s">
        <v>152</v>
      </c>
      <c r="J373" s="17" t="s">
        <v>165</v>
      </c>
      <c r="K373" s="17" t="s">
        <v>39</v>
      </c>
      <c r="L373" s="17">
        <v>10000064</v>
      </c>
      <c r="M373" s="17" t="s">
        <v>181</v>
      </c>
      <c r="N373" s="17">
        <v>24772636</v>
      </c>
      <c r="O373" s="17" t="s">
        <v>1063</v>
      </c>
      <c r="P373" s="17" t="s">
        <v>160</v>
      </c>
      <c r="Q373" s="17" t="s">
        <v>1064</v>
      </c>
      <c r="R373" s="17" t="s">
        <v>1063</v>
      </c>
      <c r="S373" s="17" t="s">
        <v>147</v>
      </c>
      <c r="T373" s="17" t="s">
        <v>159</v>
      </c>
      <c r="U373" s="17" t="s">
        <v>251</v>
      </c>
      <c r="V373" s="17"/>
      <c r="W373" s="17"/>
    </row>
    <row r="374" spans="1:23" x14ac:dyDescent="0.45">
      <c r="A374" s="17" t="s">
        <v>254</v>
      </c>
      <c r="B374" s="22">
        <v>46139</v>
      </c>
      <c r="C374" s="17">
        <v>151479665</v>
      </c>
      <c r="D374" s="26">
        <f>IFERROR(SUMIF(Servicios_Promotores!$B:$B,C374,Servicios_Promotores!$R:$R),0)</f>
        <v>262.99999998999999</v>
      </c>
      <c r="E374" s="26">
        <f>IFERROR(SUMIF(Pago_GERE!$B:$B,C374,Pago_GERE!$R:$R),0)</f>
        <v>187.00000001799998</v>
      </c>
      <c r="F374" s="26">
        <f>IFERROR(SUMIF(Hoja2!$H:$H,C374,Hoja2!$U:$U),0)</f>
        <v>0</v>
      </c>
      <c r="G374" s="17" t="str">
        <f>IFERROR(VLOOKUP(C374,Hoja3!$C:$D,2,FALSE),"")</f>
        <v>JOSE DAVID</v>
      </c>
      <c r="H374" s="22">
        <v>46141</v>
      </c>
      <c r="I374" s="17" t="s">
        <v>152</v>
      </c>
      <c r="J374" s="17" t="s">
        <v>165</v>
      </c>
      <c r="K374" s="17" t="s">
        <v>42</v>
      </c>
      <c r="L374" s="17">
        <v>10000064</v>
      </c>
      <c r="M374" s="17" t="s">
        <v>181</v>
      </c>
      <c r="N374" s="17">
        <v>24675446</v>
      </c>
      <c r="O374" s="17" t="s">
        <v>510</v>
      </c>
      <c r="P374" s="17" t="s">
        <v>148</v>
      </c>
      <c r="Q374" s="17" t="s">
        <v>253</v>
      </c>
      <c r="R374" s="17" t="s">
        <v>510</v>
      </c>
      <c r="S374" s="17" t="s">
        <v>147</v>
      </c>
      <c r="T374" s="17" t="s">
        <v>146</v>
      </c>
      <c r="U374" s="17" t="s">
        <v>251</v>
      </c>
      <c r="V374" s="17" t="s">
        <v>509</v>
      </c>
      <c r="W374" s="17" t="s">
        <v>508</v>
      </c>
    </row>
    <row r="375" spans="1:23" x14ac:dyDescent="0.45">
      <c r="A375" s="17" t="s">
        <v>254</v>
      </c>
      <c r="B375" s="22">
        <v>46137</v>
      </c>
      <c r="C375" s="17">
        <v>151477245</v>
      </c>
      <c r="D375" s="26">
        <f>IFERROR(SUMIF(Servicios_Promotores!$B:$B,C375,Servicios_Promotores!$R:$R),0)</f>
        <v>262.99999998999999</v>
      </c>
      <c r="E375" s="26">
        <f>IFERROR(SUMIF(Pago_GERE!$B:$B,C375,Pago_GERE!$R:$R),0)</f>
        <v>187.00000001799998</v>
      </c>
      <c r="F375" s="26">
        <f>IFERROR(SUMIF(Hoja2!$H:$H,C375,Hoja2!$U:$U),0)</f>
        <v>0</v>
      </c>
      <c r="G375" s="17" t="str">
        <f>IFERROR(VLOOKUP(C375,Hoja3!$C:$D,2,FALSE),"")</f>
        <v>JOSE DAVID</v>
      </c>
      <c r="H375" s="22">
        <v>46140</v>
      </c>
      <c r="I375" s="17" t="s">
        <v>152</v>
      </c>
      <c r="J375" s="17" t="s">
        <v>165</v>
      </c>
      <c r="K375" s="17" t="s">
        <v>42</v>
      </c>
      <c r="L375" s="17">
        <v>10000064</v>
      </c>
      <c r="M375" s="17" t="s">
        <v>181</v>
      </c>
      <c r="N375" s="17">
        <v>24648164</v>
      </c>
      <c r="O375" s="17" t="s">
        <v>503</v>
      </c>
      <c r="P375" s="17" t="s">
        <v>148</v>
      </c>
      <c r="Q375" s="17" t="s">
        <v>253</v>
      </c>
      <c r="R375" s="17" t="s">
        <v>503</v>
      </c>
      <c r="S375" s="17" t="s">
        <v>147</v>
      </c>
      <c r="T375" s="17" t="s">
        <v>146</v>
      </c>
      <c r="U375" s="17" t="s">
        <v>251</v>
      </c>
      <c r="V375" s="17" t="s">
        <v>502</v>
      </c>
      <c r="W375" s="17" t="s">
        <v>501</v>
      </c>
    </row>
    <row r="376" spans="1:23" x14ac:dyDescent="0.45">
      <c r="A376" s="17" t="s">
        <v>254</v>
      </c>
      <c r="B376" s="22">
        <v>46136</v>
      </c>
      <c r="C376" s="17">
        <v>5726560</v>
      </c>
      <c r="D376" s="26">
        <f>IFERROR(SUMIF(Servicios_Promotores!$B:$B,C376,Servicios_Promotores!$R:$R),0)</f>
        <v>262.99999998999999</v>
      </c>
      <c r="E376" s="26">
        <f>IFERROR(SUMIF(Pago_GERE!$B:$B,C376,Pago_GERE!$R:$R),0)</f>
        <v>187.00000001799998</v>
      </c>
      <c r="F376" s="26">
        <f>IFERROR(SUMIF(Hoja2!$H:$H,C376,Hoja2!$U:$U),0)</f>
        <v>0</v>
      </c>
      <c r="G376" s="17" t="str">
        <f>IFERROR(VLOOKUP(C376,Hoja3!$C:$D,2,FALSE),"")</f>
        <v>JOSE DAVID</v>
      </c>
      <c r="H376" s="22">
        <v>46139</v>
      </c>
      <c r="I376" s="17" t="s">
        <v>152</v>
      </c>
      <c r="J376" s="17" t="s">
        <v>165</v>
      </c>
      <c r="K376" s="17" t="s">
        <v>85</v>
      </c>
      <c r="L376" s="17">
        <v>10000064</v>
      </c>
      <c r="M376" s="17" t="s">
        <v>181</v>
      </c>
      <c r="N376" s="17">
        <v>31414235</v>
      </c>
      <c r="O376" s="17" t="s">
        <v>499</v>
      </c>
      <c r="P376" s="17" t="s">
        <v>500</v>
      </c>
      <c r="Q376" s="17" t="s">
        <v>253</v>
      </c>
      <c r="R376" s="17" t="s">
        <v>499</v>
      </c>
      <c r="S376" s="17" t="s">
        <v>147</v>
      </c>
      <c r="T376" s="17" t="s">
        <v>498</v>
      </c>
      <c r="U376" s="17" t="s">
        <v>251</v>
      </c>
      <c r="V376" s="17" t="s">
        <v>497</v>
      </c>
      <c r="W376" s="17" t="s">
        <v>496</v>
      </c>
    </row>
    <row r="377" spans="1:23" x14ac:dyDescent="0.45">
      <c r="A377" s="17" t="s">
        <v>254</v>
      </c>
      <c r="B377" s="22">
        <v>46133</v>
      </c>
      <c r="C377" s="17">
        <v>151470043</v>
      </c>
      <c r="D377" s="26">
        <f>IFERROR(SUMIF(Servicios_Promotores!$B:$B,C377,Servicios_Promotores!$R:$R),0)</f>
        <v>262.99999998999999</v>
      </c>
      <c r="E377" s="26">
        <f>IFERROR(SUMIF(Pago_GERE!$B:$B,C377,Pago_GERE!$R:$R),0)</f>
        <v>187.000000005</v>
      </c>
      <c r="F377" s="26">
        <f>IFERROR(SUMIF(Hoja2!$H:$H,C377,Hoja2!$U:$U),0)</f>
        <v>0</v>
      </c>
      <c r="G377" s="17" t="str">
        <f>IFERROR(VLOOKUP(C377,Hoja3!$C:$D,2,FALSE),"")</f>
        <v>JOSE DAVID</v>
      </c>
      <c r="H377" s="22">
        <v>46151</v>
      </c>
      <c r="I377" s="17" t="s">
        <v>152</v>
      </c>
      <c r="J377" s="17" t="s">
        <v>165</v>
      </c>
      <c r="K377" s="17" t="s">
        <v>36</v>
      </c>
      <c r="L377" s="17">
        <v>10000064</v>
      </c>
      <c r="M377" s="17" t="s">
        <v>181</v>
      </c>
      <c r="N377" s="17">
        <v>24921285</v>
      </c>
      <c r="O377" s="17" t="s">
        <v>491</v>
      </c>
      <c r="P377" s="17" t="s">
        <v>174</v>
      </c>
      <c r="Q377" s="17" t="s">
        <v>253</v>
      </c>
      <c r="R377" s="17" t="s">
        <v>491</v>
      </c>
      <c r="S377" s="17" t="s">
        <v>147</v>
      </c>
      <c r="T377" s="17" t="s">
        <v>173</v>
      </c>
      <c r="U377" s="17" t="s">
        <v>251</v>
      </c>
      <c r="V377" s="17" t="s">
        <v>490</v>
      </c>
      <c r="W377" s="17" t="s">
        <v>489</v>
      </c>
    </row>
    <row r="378" spans="1:23" x14ac:dyDescent="0.45">
      <c r="A378" s="17" t="s">
        <v>254</v>
      </c>
      <c r="B378" s="22">
        <v>46126</v>
      </c>
      <c r="C378" s="17">
        <v>151458298</v>
      </c>
      <c r="D378" s="26">
        <f>IFERROR(SUMIF(Servicios_Promotores!$B:$B,C378,Servicios_Promotores!$R:$R),0)</f>
        <v>262.99999998999999</v>
      </c>
      <c r="E378" s="26">
        <f>IFERROR(SUMIF(Pago_GERE!$B:$B,C378,Pago_GERE!$R:$R),0)</f>
        <v>187.00000001799998</v>
      </c>
      <c r="F378" s="26">
        <f>IFERROR(SUMIF(Hoja2!$H:$H,C378,Hoja2!$U:$U),0)</f>
        <v>399</v>
      </c>
      <c r="G378" s="17" t="str">
        <f>IFERROR(VLOOKUP(C378,Hoja3!$C:$D,2,FALSE),"")</f>
        <v>JOSE DAVID</v>
      </c>
      <c r="H378" s="22">
        <v>46129</v>
      </c>
      <c r="I378" s="17" t="s">
        <v>158</v>
      </c>
      <c r="J378" s="17" t="s">
        <v>151</v>
      </c>
      <c r="K378" s="17" t="s">
        <v>42</v>
      </c>
      <c r="L378" s="17">
        <v>10000064</v>
      </c>
      <c r="M378" s="17" t="s">
        <v>181</v>
      </c>
      <c r="N378" s="17">
        <v>24254941</v>
      </c>
      <c r="O378" s="17" t="s">
        <v>454</v>
      </c>
      <c r="P378" s="17" t="s">
        <v>148</v>
      </c>
      <c r="Q378" s="17" t="s">
        <v>253</v>
      </c>
      <c r="R378" s="17" t="s">
        <v>454</v>
      </c>
      <c r="S378" s="17" t="s">
        <v>155</v>
      </c>
      <c r="T378" s="17" t="s">
        <v>146</v>
      </c>
      <c r="U378" s="17" t="s">
        <v>251</v>
      </c>
      <c r="V378" s="17" t="s">
        <v>453</v>
      </c>
      <c r="W378" s="17" t="s">
        <v>452</v>
      </c>
    </row>
    <row r="379" spans="1:23" x14ac:dyDescent="0.45">
      <c r="A379" s="17" t="s">
        <v>254</v>
      </c>
      <c r="B379" s="22">
        <v>46146</v>
      </c>
      <c r="C379" s="17">
        <v>151490113</v>
      </c>
      <c r="D379" s="26">
        <f>IFERROR(SUMIF(Servicios_Promotores!$B:$B,C379,Servicios_Promotores!$R:$R),0)</f>
        <v>262.99999998999999</v>
      </c>
      <c r="E379" s="26">
        <f>IFERROR(SUMIF(Pago_GERE!$B:$B,C379,Pago_GERE!$R:$R),0)</f>
        <v>187.000000005</v>
      </c>
      <c r="F379" s="26">
        <f>IFERROR(SUMIF(Hoja2!$H:$H,C379,Hoja2!$U:$U),0)</f>
        <v>0</v>
      </c>
      <c r="G379" s="17" t="str">
        <f>IFERROR(VLOOKUP(C379,Hoja3!$C:$D,2,FALSE),"")</f>
        <v>JOSE DAVID</v>
      </c>
      <c r="H379" s="22">
        <v>46148</v>
      </c>
      <c r="I379" s="17" t="s">
        <v>152</v>
      </c>
      <c r="J379" s="17" t="s">
        <v>165</v>
      </c>
      <c r="K379" s="17" t="s">
        <v>42</v>
      </c>
      <c r="L379" s="17">
        <v>10000064</v>
      </c>
      <c r="M379" s="17" t="s">
        <v>181</v>
      </c>
      <c r="N379" s="17">
        <v>24845879</v>
      </c>
      <c r="O379" s="17" t="s">
        <v>266</v>
      </c>
      <c r="P379" s="17" t="s">
        <v>224</v>
      </c>
      <c r="Q379" s="17" t="s">
        <v>253</v>
      </c>
      <c r="R379" s="17" t="s">
        <v>266</v>
      </c>
      <c r="S379" s="17" t="s">
        <v>147</v>
      </c>
      <c r="T379" s="17" t="s">
        <v>223</v>
      </c>
      <c r="U379" s="17" t="s">
        <v>251</v>
      </c>
      <c r="V379" s="17" t="s">
        <v>265</v>
      </c>
      <c r="W379" s="17" t="s">
        <v>264</v>
      </c>
    </row>
    <row r="380" spans="1:23" x14ac:dyDescent="0.45">
      <c r="A380" s="17"/>
      <c r="B380" s="22">
        <v>46134</v>
      </c>
      <c r="C380" s="17">
        <v>151471588</v>
      </c>
      <c r="D380" s="26">
        <f>IFERROR(SUMIF(Servicios_Promotores!$B:$B,C380,Servicios_Promotores!$R:$R),0)</f>
        <v>0</v>
      </c>
      <c r="E380" s="26">
        <f>IFERROR(SUMIF(Pago_GERE!$B:$B,C380,Pago_GERE!$R:$R),0)</f>
        <v>0</v>
      </c>
      <c r="F380" s="26">
        <f>IFERROR(SUMIF(Hoja2!$H:$H,C380,Hoja2!$U:$U),0)</f>
        <v>0</v>
      </c>
      <c r="G380" s="17" t="str">
        <f>IFERROR(VLOOKUP(C380,Hoja3!$C:$D,2,FALSE),"")</f>
        <v>JOSE DAVID</v>
      </c>
      <c r="H380" s="17"/>
      <c r="I380" s="17" t="s">
        <v>152</v>
      </c>
      <c r="J380" s="17" t="s">
        <v>151</v>
      </c>
      <c r="K380" s="17" t="s">
        <v>39</v>
      </c>
      <c r="L380" s="17">
        <v>10000064</v>
      </c>
      <c r="M380" s="17" t="s">
        <v>181</v>
      </c>
      <c r="N380" s="17">
        <v>151471588</v>
      </c>
      <c r="O380" s="17"/>
      <c r="P380" s="17" t="s">
        <v>160</v>
      </c>
      <c r="Q380" s="17"/>
      <c r="R380" s="17"/>
      <c r="S380" s="17" t="s">
        <v>147</v>
      </c>
      <c r="T380" s="17" t="s">
        <v>159</v>
      </c>
      <c r="U380" s="17" t="s">
        <v>182</v>
      </c>
      <c r="V380" s="17"/>
      <c r="W380" s="17"/>
    </row>
    <row r="381" spans="1:23" x14ac:dyDescent="0.45">
      <c r="A381" s="17" t="s">
        <v>254</v>
      </c>
      <c r="B381" s="22">
        <v>46048</v>
      </c>
      <c r="C381" s="17">
        <v>151316131</v>
      </c>
      <c r="D381" s="26">
        <f>IFERROR(SUMIF(Servicios_Promotores!$B:$B,C381,Servicios_Promotores!$R:$R),0)</f>
        <v>49.999999998</v>
      </c>
      <c r="E381" s="26">
        <f>IFERROR(SUMIF(Pago_GERE!$B:$B,C381,Pago_GERE!$R:$R),0)</f>
        <v>49.999999998</v>
      </c>
      <c r="F381" s="26">
        <f>IFERROR(SUMIF(Hoja2!$H:$H,C381,Hoja2!$U:$U),0)</f>
        <v>0</v>
      </c>
      <c r="G381" s="17" t="str">
        <f>IFERROR(VLOOKUP(C381,Hoja3!$C:$D,2,FALSE),"")</f>
        <v>JOSE DAVID</v>
      </c>
      <c r="H381" s="22">
        <v>46057</v>
      </c>
      <c r="I381" s="17" t="s">
        <v>152</v>
      </c>
      <c r="J381" s="17" t="s">
        <v>165</v>
      </c>
      <c r="K381" s="17" t="s">
        <v>39</v>
      </c>
      <c r="L381" s="17">
        <v>10000064</v>
      </c>
      <c r="M381" s="17" t="s">
        <v>211</v>
      </c>
      <c r="N381" s="17">
        <v>22150168</v>
      </c>
      <c r="O381" s="17" t="s">
        <v>1035</v>
      </c>
      <c r="P381" s="17" t="s">
        <v>170</v>
      </c>
      <c r="Q381" s="17" t="s">
        <v>253</v>
      </c>
      <c r="R381" s="17" t="s">
        <v>1035</v>
      </c>
      <c r="S381" s="17" t="s">
        <v>147</v>
      </c>
      <c r="T381" s="17" t="s">
        <v>169</v>
      </c>
      <c r="U381" s="17" t="s">
        <v>251</v>
      </c>
      <c r="V381" s="17" t="s">
        <v>1027</v>
      </c>
      <c r="W381" s="17" t="s">
        <v>315</v>
      </c>
    </row>
    <row r="382" spans="1:23" x14ac:dyDescent="0.45">
      <c r="A382" s="17" t="s">
        <v>254</v>
      </c>
      <c r="B382" s="22">
        <v>46157</v>
      </c>
      <c r="C382" s="17">
        <v>151509706</v>
      </c>
      <c r="D382" s="26">
        <f>IFERROR(SUMIF(Servicios_Promotores!$B:$B,C382,Servicios_Promotores!$R:$R),0)</f>
        <v>262.99999998999999</v>
      </c>
      <c r="E382" s="26">
        <f>IFERROR(SUMIF(Pago_GERE!$B:$B,C382,Pago_GERE!$R:$R),0)</f>
        <v>187.000000005</v>
      </c>
      <c r="F382" s="26">
        <f>IFERROR(SUMIF(Hoja2!$H:$H,C382,Hoja2!$U:$U),0)</f>
        <v>0</v>
      </c>
      <c r="G382" s="17" t="str">
        <f>IFERROR(VLOOKUP(C382,Hoja3!$C:$D,2,FALSE),"")</f>
        <v>JOSE DAVID</v>
      </c>
      <c r="H382" s="22">
        <v>46159</v>
      </c>
      <c r="I382" s="17" t="s">
        <v>152</v>
      </c>
      <c r="J382" s="17" t="s">
        <v>151</v>
      </c>
      <c r="K382" s="17" t="s">
        <v>42</v>
      </c>
      <c r="L382" s="17">
        <v>10000064</v>
      </c>
      <c r="M382" s="17" t="s">
        <v>161</v>
      </c>
      <c r="N382" s="17">
        <v>25152520</v>
      </c>
      <c r="O382" s="17" t="s">
        <v>356</v>
      </c>
      <c r="P382" s="17" t="s">
        <v>148</v>
      </c>
      <c r="Q382" s="17" t="s">
        <v>253</v>
      </c>
      <c r="R382" s="17" t="s">
        <v>356</v>
      </c>
      <c r="S382" s="17" t="s">
        <v>147</v>
      </c>
      <c r="T382" s="17" t="s">
        <v>146</v>
      </c>
      <c r="U382" s="17" t="s">
        <v>251</v>
      </c>
      <c r="V382" s="17" t="s">
        <v>355</v>
      </c>
      <c r="W382" s="17" t="s">
        <v>315</v>
      </c>
    </row>
    <row r="383" spans="1:23" x14ac:dyDescent="0.45">
      <c r="A383" s="17" t="s">
        <v>254</v>
      </c>
      <c r="B383" s="22">
        <v>46153</v>
      </c>
      <c r="C383" s="17">
        <v>151501478</v>
      </c>
      <c r="D383" s="26">
        <f>IFERROR(SUMIF(Servicios_Promotores!$B:$B,C383,Servicios_Promotores!$R:$R),0)</f>
        <v>262.99999998999999</v>
      </c>
      <c r="E383" s="26">
        <f>IFERROR(SUMIF(Pago_GERE!$B:$B,C383,Pago_GERE!$R:$R),0)</f>
        <v>187.000000005</v>
      </c>
      <c r="F383" s="26">
        <f>IFERROR(SUMIF(Hoja2!$H:$H,C383,Hoja2!$U:$U),0)</f>
        <v>0</v>
      </c>
      <c r="G383" s="17" t="str">
        <f>IFERROR(VLOOKUP(C383,Hoja3!$C:$D,2,FALSE),"")</f>
        <v>JOSE DAVID</v>
      </c>
      <c r="H383" s="22">
        <v>46154</v>
      </c>
      <c r="I383" s="17" t="s">
        <v>158</v>
      </c>
      <c r="J383" s="17" t="s">
        <v>151</v>
      </c>
      <c r="K383" s="17" t="s">
        <v>42</v>
      </c>
      <c r="L383" s="17">
        <v>10000064</v>
      </c>
      <c r="M383" s="17" t="s">
        <v>161</v>
      </c>
      <c r="N383" s="17">
        <v>25047514</v>
      </c>
      <c r="O383" s="17" t="s">
        <v>323</v>
      </c>
      <c r="P383" s="17" t="s">
        <v>148</v>
      </c>
      <c r="Q383" s="17" t="s">
        <v>253</v>
      </c>
      <c r="R383" s="17" t="s">
        <v>323</v>
      </c>
      <c r="S383" s="17" t="s">
        <v>155</v>
      </c>
      <c r="T383" s="17" t="s">
        <v>146</v>
      </c>
      <c r="U383" s="17" t="s">
        <v>251</v>
      </c>
      <c r="V383" s="17" t="s">
        <v>322</v>
      </c>
      <c r="W383" s="17" t="s">
        <v>321</v>
      </c>
    </row>
    <row r="384" spans="1:23" x14ac:dyDescent="0.45">
      <c r="A384" s="17" t="s">
        <v>254</v>
      </c>
      <c r="B384" s="22">
        <v>46153</v>
      </c>
      <c r="C384" s="17">
        <v>151500819</v>
      </c>
      <c r="D384" s="26">
        <f>IFERROR(SUMIF(Servicios_Promotores!$B:$B,C384,Servicios_Promotores!$R:$R),0)</f>
        <v>262.99999998999999</v>
      </c>
      <c r="E384" s="26">
        <f>IFERROR(SUMIF(Pago_GERE!$B:$B,C384,Pago_GERE!$R:$R),0)</f>
        <v>187.000000005</v>
      </c>
      <c r="F384" s="26">
        <f>IFERROR(SUMIF(Hoja2!$H:$H,C384,Hoja2!$U:$U),0)</f>
        <v>0</v>
      </c>
      <c r="G384" s="17" t="str">
        <f>IFERROR(VLOOKUP(C384,Hoja3!$C:$D,2,FALSE),"")</f>
        <v>JOSE DAVID</v>
      </c>
      <c r="H384" s="22">
        <v>46157</v>
      </c>
      <c r="I384" s="17" t="s">
        <v>152</v>
      </c>
      <c r="J384" s="17" t="s">
        <v>165</v>
      </c>
      <c r="K384" s="17" t="s">
        <v>42</v>
      </c>
      <c r="L384" s="17">
        <v>10000064</v>
      </c>
      <c r="M384" s="17" t="s">
        <v>161</v>
      </c>
      <c r="N384" s="17">
        <v>25134907</v>
      </c>
      <c r="O384" s="17" t="s">
        <v>314</v>
      </c>
      <c r="P384" s="17" t="s">
        <v>148</v>
      </c>
      <c r="Q384" s="17" t="s">
        <v>253</v>
      </c>
      <c r="R384" s="17" t="s">
        <v>314</v>
      </c>
      <c r="S384" s="17" t="s">
        <v>147</v>
      </c>
      <c r="T384" s="17" t="s">
        <v>146</v>
      </c>
      <c r="U384" s="17" t="s">
        <v>251</v>
      </c>
      <c r="V384" s="17" t="s">
        <v>313</v>
      </c>
      <c r="W384" s="17" t="s">
        <v>310</v>
      </c>
    </row>
    <row r="385" spans="1:23" x14ac:dyDescent="0.45">
      <c r="A385" s="17" t="s">
        <v>254</v>
      </c>
      <c r="B385" s="22">
        <v>46149</v>
      </c>
      <c r="C385" s="17">
        <v>151496325</v>
      </c>
      <c r="D385" s="26">
        <f>IFERROR(SUMIF(Servicios_Promotores!$B:$B,C385,Servicios_Promotores!$R:$R),0)</f>
        <v>262.99999998999999</v>
      </c>
      <c r="E385" s="26">
        <f>IFERROR(SUMIF(Pago_GERE!$B:$B,C385,Pago_GERE!$R:$R),0)</f>
        <v>187.000000005</v>
      </c>
      <c r="F385" s="26">
        <f>IFERROR(SUMIF(Hoja2!$H:$H,C385,Hoja2!$U:$U),0)</f>
        <v>0</v>
      </c>
      <c r="G385" s="17" t="str">
        <f>IFERROR(VLOOKUP(C385,Hoja3!$C:$D,2,FALSE),"")</f>
        <v>JOSE DAVID</v>
      </c>
      <c r="H385" s="22">
        <v>46153</v>
      </c>
      <c r="I385" s="17" t="s">
        <v>158</v>
      </c>
      <c r="J385" s="17" t="s">
        <v>151</v>
      </c>
      <c r="K385" s="17" t="s">
        <v>39</v>
      </c>
      <c r="L385" s="17">
        <v>10000064</v>
      </c>
      <c r="M385" s="17" t="s">
        <v>161</v>
      </c>
      <c r="N385" s="17">
        <v>24890289</v>
      </c>
      <c r="O385" s="17" t="s">
        <v>288</v>
      </c>
      <c r="P385" s="17" t="s">
        <v>289</v>
      </c>
      <c r="Q385" s="17" t="s">
        <v>253</v>
      </c>
      <c r="R385" s="17" t="s">
        <v>288</v>
      </c>
      <c r="S385" s="17" t="s">
        <v>155</v>
      </c>
      <c r="T385" s="17" t="s">
        <v>184</v>
      </c>
      <c r="U385" s="17" t="s">
        <v>251</v>
      </c>
      <c r="V385" s="17" t="s">
        <v>287</v>
      </c>
      <c r="W385" s="17" t="s">
        <v>286</v>
      </c>
    </row>
    <row r="386" spans="1:23" x14ac:dyDescent="0.45">
      <c r="A386" s="17" t="s">
        <v>254</v>
      </c>
      <c r="B386" s="22">
        <v>46141</v>
      </c>
      <c r="C386" s="17">
        <v>151483962</v>
      </c>
      <c r="D386" s="26">
        <f>IFERROR(SUMIF(Servicios_Promotores!$B:$B,C386,Servicios_Promotores!$R:$R),0)</f>
        <v>249.99999998999999</v>
      </c>
      <c r="E386" s="26">
        <f>IFERROR(SUMIF(Pago_GERE!$B:$B,C386,Pago_GERE!$R:$R),0)</f>
        <v>150.00000001999999</v>
      </c>
      <c r="F386" s="26">
        <f>IFERROR(SUMIF(Hoja2!$H:$H,C386,Hoja2!$U:$U),0)</f>
        <v>0</v>
      </c>
      <c r="G386" s="17" t="str">
        <f>IFERROR(VLOOKUP(C386,Hoja3!$C:$D,2,FALSE),"")</f>
        <v>JOSE DAVID</v>
      </c>
      <c r="H386" s="22">
        <v>46146</v>
      </c>
      <c r="I386" s="17" t="s">
        <v>158</v>
      </c>
      <c r="J386" s="17" t="s">
        <v>151</v>
      </c>
      <c r="K386" s="17" t="s">
        <v>55</v>
      </c>
      <c r="L386" s="17">
        <v>10001013</v>
      </c>
      <c r="M386" s="17" t="s">
        <v>157</v>
      </c>
      <c r="N386" s="17">
        <v>24689243</v>
      </c>
      <c r="O386" s="17" t="s">
        <v>519</v>
      </c>
      <c r="P386" s="17" t="s">
        <v>259</v>
      </c>
      <c r="Q386" s="17" t="s">
        <v>253</v>
      </c>
      <c r="R386" s="17" t="s">
        <v>519</v>
      </c>
      <c r="S386" s="17" t="s">
        <v>155</v>
      </c>
      <c r="T386" s="17" t="s">
        <v>257</v>
      </c>
      <c r="U386" s="17" t="s">
        <v>251</v>
      </c>
      <c r="V386" s="17" t="s">
        <v>256</v>
      </c>
      <c r="W386" s="17" t="s">
        <v>255</v>
      </c>
    </row>
    <row r="387" spans="1:23" x14ac:dyDescent="0.45">
      <c r="A387" s="17" t="s">
        <v>254</v>
      </c>
      <c r="B387" s="22">
        <v>46140</v>
      </c>
      <c r="C387" s="17">
        <v>151480988</v>
      </c>
      <c r="D387" s="26">
        <f>IFERROR(SUMIF(Servicios_Promotores!$B:$B,C387,Servicios_Promotores!$R:$R),0)</f>
        <v>262.99999998999999</v>
      </c>
      <c r="E387" s="26">
        <f>IFERROR(SUMIF(Pago_GERE!$B:$B,C387,Pago_GERE!$R:$R),0)</f>
        <v>187.00000001799998</v>
      </c>
      <c r="F387" s="26">
        <f>IFERROR(SUMIF(Hoja2!$H:$H,C387,Hoja2!$U:$U),0)</f>
        <v>0</v>
      </c>
      <c r="G387" s="17" t="str">
        <f>IFERROR(VLOOKUP(C387,Hoja3!$C:$D,2,FALSE),"")</f>
        <v>JOSE DAVID</v>
      </c>
      <c r="H387" s="22">
        <v>46142</v>
      </c>
      <c r="I387" s="17" t="s">
        <v>152</v>
      </c>
      <c r="J387" s="17" t="s">
        <v>165</v>
      </c>
      <c r="K387" s="17" t="s">
        <v>55</v>
      </c>
      <c r="L387" s="17">
        <v>10001013</v>
      </c>
      <c r="M387" s="17" t="s">
        <v>157</v>
      </c>
      <c r="N387" s="17">
        <v>25056908</v>
      </c>
      <c r="O387" s="17" t="s">
        <v>518</v>
      </c>
      <c r="P387" s="17" t="s">
        <v>222</v>
      </c>
      <c r="Q387" s="17" t="s">
        <v>253</v>
      </c>
      <c r="R387" s="17" t="s">
        <v>518</v>
      </c>
      <c r="S387" s="17" t="s">
        <v>147</v>
      </c>
      <c r="T387" s="17" t="s">
        <v>55</v>
      </c>
      <c r="U387" s="17" t="s">
        <v>251</v>
      </c>
      <c r="V387" s="17" t="s">
        <v>517</v>
      </c>
      <c r="W387" s="17" t="s">
        <v>261</v>
      </c>
    </row>
    <row r="388" spans="1:23" x14ac:dyDescent="0.45">
      <c r="A388" s="17" t="s">
        <v>254</v>
      </c>
      <c r="B388" s="22">
        <v>46140</v>
      </c>
      <c r="C388" s="17">
        <v>151481486</v>
      </c>
      <c r="D388" s="26">
        <f>IFERROR(SUMIF(Servicios_Promotores!$B:$B,C388,Servicios_Promotores!$R:$R),0)</f>
        <v>249.99999998999999</v>
      </c>
      <c r="E388" s="26">
        <f>IFERROR(SUMIF(Pago_GERE!$B:$B,C388,Pago_GERE!$R:$R),0)</f>
        <v>150.00000001999999</v>
      </c>
      <c r="F388" s="26">
        <f>IFERROR(SUMIF(Hoja2!$H:$H,C388,Hoja2!$U:$U),0)</f>
        <v>0</v>
      </c>
      <c r="G388" s="17" t="str">
        <f>IFERROR(VLOOKUP(C388,Hoja3!$C:$D,2,FALSE),"")</f>
        <v>JOSE DAVID</v>
      </c>
      <c r="H388" s="22">
        <v>46145</v>
      </c>
      <c r="I388" s="17" t="s">
        <v>158</v>
      </c>
      <c r="J388" s="17" t="s">
        <v>151</v>
      </c>
      <c r="K388" s="17" t="s">
        <v>55</v>
      </c>
      <c r="L388" s="17">
        <v>10001013</v>
      </c>
      <c r="M388" s="17" t="s">
        <v>157</v>
      </c>
      <c r="N388" s="17">
        <v>24658819</v>
      </c>
      <c r="O388" s="17" t="s">
        <v>516</v>
      </c>
      <c r="P388" s="17" t="s">
        <v>222</v>
      </c>
      <c r="Q388" s="17" t="s">
        <v>253</v>
      </c>
      <c r="R388" s="17" t="s">
        <v>516</v>
      </c>
      <c r="S388" s="17" t="s">
        <v>155</v>
      </c>
      <c r="T388" s="17" t="s">
        <v>55</v>
      </c>
      <c r="U388" s="17" t="s">
        <v>251</v>
      </c>
      <c r="V388" s="17" t="s">
        <v>515</v>
      </c>
      <c r="W388" s="17" t="s">
        <v>514</v>
      </c>
    </row>
    <row r="389" spans="1:23" x14ac:dyDescent="0.45">
      <c r="A389" s="17" t="s">
        <v>254</v>
      </c>
      <c r="B389" s="22">
        <v>46128</v>
      </c>
      <c r="C389" s="17">
        <v>151462935</v>
      </c>
      <c r="D389" s="26">
        <f>IFERROR(SUMIF(Servicios_Promotores!$B:$B,C389,Servicios_Promotores!$R:$R),0)</f>
        <v>262.99999998999999</v>
      </c>
      <c r="E389" s="26">
        <f>IFERROR(SUMIF(Pago_GERE!$B:$B,C389,Pago_GERE!$R:$R),0)</f>
        <v>187.00000001799998</v>
      </c>
      <c r="F389" s="26">
        <f>IFERROR(SUMIF(Hoja2!$H:$H,C389,Hoja2!$U:$U),0)</f>
        <v>0</v>
      </c>
      <c r="G389" s="17" t="str">
        <f>IFERROR(VLOOKUP(C389,Hoja3!$C:$D,2,FALSE),"")</f>
        <v>JOSE DAVID</v>
      </c>
      <c r="H389" s="22">
        <v>46129</v>
      </c>
      <c r="I389" s="17" t="s">
        <v>468</v>
      </c>
      <c r="J389" s="17" t="s">
        <v>151</v>
      </c>
      <c r="K389" s="17" t="s">
        <v>39</v>
      </c>
      <c r="L389" s="17">
        <v>10001013</v>
      </c>
      <c r="M389" s="17" t="s">
        <v>157</v>
      </c>
      <c r="N389" s="17">
        <v>24337685</v>
      </c>
      <c r="O389" s="17" t="s">
        <v>467</v>
      </c>
      <c r="P389" s="17" t="s">
        <v>160</v>
      </c>
      <c r="Q389" s="17" t="s">
        <v>253</v>
      </c>
      <c r="R389" s="17" t="s">
        <v>467</v>
      </c>
      <c r="S389" s="17" t="s">
        <v>155</v>
      </c>
      <c r="T389" s="17" t="s">
        <v>159</v>
      </c>
      <c r="U389" s="17" t="s">
        <v>251</v>
      </c>
      <c r="V389" s="17" t="s">
        <v>466</v>
      </c>
      <c r="W389" s="17" t="s">
        <v>465</v>
      </c>
    </row>
    <row r="390" spans="1:23" x14ac:dyDescent="0.45">
      <c r="A390" s="17" t="s">
        <v>254</v>
      </c>
      <c r="B390" s="22">
        <v>46150</v>
      </c>
      <c r="C390" s="17">
        <v>151498147</v>
      </c>
      <c r="D390" s="26">
        <f>IFERROR(SUMIF(Servicios_Promotores!$B:$B,C390,Servicios_Promotores!$R:$R),0)</f>
        <v>262.99999998999999</v>
      </c>
      <c r="E390" s="26">
        <f>IFERROR(SUMIF(Pago_GERE!$B:$B,C390,Pago_GERE!$R:$R),0)</f>
        <v>187.000000005</v>
      </c>
      <c r="F390" s="26">
        <f>IFERROR(SUMIF(Hoja2!$H:$H,C390,Hoja2!$U:$U),0)</f>
        <v>0</v>
      </c>
      <c r="G390" s="17" t="str">
        <f>IFERROR(VLOOKUP(C390,Hoja3!$C:$D,2,FALSE),"")</f>
        <v>JOSE DAVID</v>
      </c>
      <c r="H390" s="22">
        <v>46155</v>
      </c>
      <c r="I390" s="17" t="s">
        <v>152</v>
      </c>
      <c r="J390" s="17" t="s">
        <v>165</v>
      </c>
      <c r="K390" s="17" t="s">
        <v>55</v>
      </c>
      <c r="L390" s="17">
        <v>10001013</v>
      </c>
      <c r="M390" s="17" t="s">
        <v>157</v>
      </c>
      <c r="N390" s="17">
        <v>25089804</v>
      </c>
      <c r="O390" s="17" t="s">
        <v>301</v>
      </c>
      <c r="P390" s="17" t="s">
        <v>296</v>
      </c>
      <c r="Q390" s="17" t="s">
        <v>253</v>
      </c>
      <c r="R390" s="17" t="s">
        <v>301</v>
      </c>
      <c r="S390" s="17" t="s">
        <v>147</v>
      </c>
      <c r="T390" s="17" t="s">
        <v>257</v>
      </c>
      <c r="U390" s="17" t="s">
        <v>251</v>
      </c>
      <c r="V390" s="17" t="s">
        <v>300</v>
      </c>
      <c r="W390" s="17" t="s">
        <v>299</v>
      </c>
    </row>
    <row r="391" spans="1:23" x14ac:dyDescent="0.45">
      <c r="A391" s="17" t="s">
        <v>254</v>
      </c>
      <c r="B391" s="22">
        <v>46148</v>
      </c>
      <c r="C391" s="17">
        <v>151494092</v>
      </c>
      <c r="D391" s="26">
        <f>IFERROR(SUMIF(Servicios_Promotores!$B:$B,C391,Servicios_Promotores!$R:$R),0)</f>
        <v>317.99999997999998</v>
      </c>
      <c r="E391" s="26">
        <f>IFERROR(SUMIF(Pago_GERE!$B:$B,C391,Pago_GERE!$R:$R),0)</f>
        <v>272.00000002500002</v>
      </c>
      <c r="F391" s="26">
        <f>IFERROR(SUMIF(Hoja2!$H:$H,C391,Hoja2!$U:$U),0)</f>
        <v>0</v>
      </c>
      <c r="G391" s="17" t="str">
        <f>IFERROR(VLOOKUP(C391,Hoja3!$C:$D,2,FALSE),"")</f>
        <v>JOSE DAVID</v>
      </c>
      <c r="H391" s="22">
        <v>46149</v>
      </c>
      <c r="I391" s="17" t="s">
        <v>152</v>
      </c>
      <c r="J391" s="17" t="s">
        <v>151</v>
      </c>
      <c r="K391" s="17" t="s">
        <v>55</v>
      </c>
      <c r="L391" s="17">
        <v>10001013</v>
      </c>
      <c r="M391" s="17" t="s">
        <v>157</v>
      </c>
      <c r="N391" s="17">
        <v>24851700</v>
      </c>
      <c r="O391" s="17" t="s">
        <v>284</v>
      </c>
      <c r="P391" s="17" t="s">
        <v>221</v>
      </c>
      <c r="Q391" s="17" t="s">
        <v>253</v>
      </c>
      <c r="R391" s="17" t="s">
        <v>284</v>
      </c>
      <c r="S391" s="17" t="s">
        <v>147</v>
      </c>
      <c r="T391" s="17" t="s">
        <v>55</v>
      </c>
      <c r="U391" s="17" t="s">
        <v>251</v>
      </c>
      <c r="V391" s="17" t="s">
        <v>283</v>
      </c>
      <c r="W391" s="17" t="s">
        <v>282</v>
      </c>
    </row>
    <row r="392" spans="1:23" x14ac:dyDescent="0.45">
      <c r="A392" s="17" t="s">
        <v>254</v>
      </c>
      <c r="B392" s="22">
        <v>46146</v>
      </c>
      <c r="C392" s="17">
        <v>151489087</v>
      </c>
      <c r="D392" s="26">
        <f>IFERROR(SUMIF(Servicios_Promotores!$B:$B,C392,Servicios_Promotores!$R:$R),0)</f>
        <v>249.99999998999999</v>
      </c>
      <c r="E392" s="26">
        <f>IFERROR(SUMIF(Pago_GERE!$B:$B,C392,Pago_GERE!$R:$R),0)</f>
        <v>150.00000001999999</v>
      </c>
      <c r="F392" s="26">
        <f>IFERROR(SUMIF(Hoja2!$H:$H,C392,Hoja2!$U:$U),0)</f>
        <v>0</v>
      </c>
      <c r="G392" s="17" t="str">
        <f>IFERROR(VLOOKUP(C392,Hoja3!$C:$D,2,FALSE),"")</f>
        <v>JOSE DAVID</v>
      </c>
      <c r="H392" s="22">
        <v>46146</v>
      </c>
      <c r="I392" s="17" t="s">
        <v>158</v>
      </c>
      <c r="J392" s="17" t="s">
        <v>151</v>
      </c>
      <c r="K392" s="17" t="s">
        <v>42</v>
      </c>
      <c r="L392" s="17">
        <v>10001013</v>
      </c>
      <c r="M392" s="17" t="s">
        <v>157</v>
      </c>
      <c r="N392" s="17">
        <v>24779399</v>
      </c>
      <c r="O392" s="17" t="s">
        <v>269</v>
      </c>
      <c r="P392" s="17" t="s">
        <v>224</v>
      </c>
      <c r="Q392" s="17" t="s">
        <v>253</v>
      </c>
      <c r="R392" s="17" t="s">
        <v>269</v>
      </c>
      <c r="S392" s="17" t="s">
        <v>155</v>
      </c>
      <c r="T392" s="17" t="s">
        <v>223</v>
      </c>
      <c r="U392" s="17" t="s">
        <v>251</v>
      </c>
      <c r="V392" s="17" t="s">
        <v>268</v>
      </c>
      <c r="W392" s="17" t="s">
        <v>267</v>
      </c>
    </row>
    <row r="393" spans="1:23" x14ac:dyDescent="0.45">
      <c r="A393" s="17" t="s">
        <v>254</v>
      </c>
      <c r="B393" s="22">
        <v>46144</v>
      </c>
      <c r="C393" s="17">
        <v>151487136</v>
      </c>
      <c r="D393" s="26">
        <f>IFERROR(SUMIF(Servicios_Promotores!$B:$B,C393,Servicios_Promotores!$R:$R),0)</f>
        <v>262.99999998999999</v>
      </c>
      <c r="E393" s="26">
        <f>IFERROR(SUMIF(Pago_GERE!$B:$B,C393,Pago_GERE!$R:$R),0)</f>
        <v>187.000000005</v>
      </c>
      <c r="F393" s="26">
        <f>IFERROR(SUMIF(Hoja2!$H:$H,C393,Hoja2!$U:$U),0)</f>
        <v>0</v>
      </c>
      <c r="G393" s="17" t="str">
        <f>IFERROR(VLOOKUP(C393,Hoja3!$C:$D,2,FALSE),"")</f>
        <v>JOSE DAVID</v>
      </c>
      <c r="H393" s="22">
        <v>46149</v>
      </c>
      <c r="I393" s="17" t="s">
        <v>260</v>
      </c>
      <c r="J393" s="17" t="s">
        <v>165</v>
      </c>
      <c r="K393" s="17" t="s">
        <v>55</v>
      </c>
      <c r="L393" s="17">
        <v>10001013</v>
      </c>
      <c r="M393" s="17" t="s">
        <v>157</v>
      </c>
      <c r="N393" s="17">
        <v>25023303</v>
      </c>
      <c r="O393" s="17" t="s">
        <v>258</v>
      </c>
      <c r="P393" s="17" t="s">
        <v>259</v>
      </c>
      <c r="Q393" s="17" t="s">
        <v>253</v>
      </c>
      <c r="R393" s="17" t="s">
        <v>258</v>
      </c>
      <c r="S393" s="17" t="s">
        <v>147</v>
      </c>
      <c r="T393" s="17" t="s">
        <v>257</v>
      </c>
      <c r="U393" s="17" t="s">
        <v>251</v>
      </c>
      <c r="V393" s="17" t="s">
        <v>256</v>
      </c>
      <c r="W393" s="17" t="s">
        <v>255</v>
      </c>
    </row>
    <row r="394" spans="1:23" x14ac:dyDescent="0.45">
      <c r="A394" s="17" t="s">
        <v>254</v>
      </c>
      <c r="B394" s="22">
        <v>46119</v>
      </c>
      <c r="C394" s="17">
        <v>151445949</v>
      </c>
      <c r="D394" s="26">
        <f>IFERROR(SUMIF(Servicios_Promotores!$B:$B,C394,Servicios_Promotores!$R:$R),0)</f>
        <v>262.99999998999999</v>
      </c>
      <c r="E394" s="26">
        <f>IFERROR(SUMIF(Pago_GERE!$B:$B,C394,Pago_GERE!$R:$R),0)</f>
        <v>187.00000001799998</v>
      </c>
      <c r="F394" s="26">
        <f>IFERROR(SUMIF(Hoja2!$H:$H,C394,Hoja2!$U:$U),0)</f>
        <v>0</v>
      </c>
      <c r="G394" s="17" t="str">
        <f>IFERROR(VLOOKUP(C394,Hoja3!$C:$D,2,FALSE),"")</f>
        <v>KARINA</v>
      </c>
      <c r="H394" s="22">
        <v>46122</v>
      </c>
      <c r="I394" s="17" t="s">
        <v>152</v>
      </c>
      <c r="J394" s="17" t="s">
        <v>151</v>
      </c>
      <c r="K394" s="17" t="s">
        <v>36</v>
      </c>
      <c r="L394" s="17">
        <v>10000064</v>
      </c>
      <c r="M394" s="17" t="s">
        <v>437</v>
      </c>
      <c r="N394" s="17">
        <v>24099246</v>
      </c>
      <c r="O394" s="17" t="s">
        <v>436</v>
      </c>
      <c r="P394" s="17" t="s">
        <v>174</v>
      </c>
      <c r="Q394" s="17" t="s">
        <v>253</v>
      </c>
      <c r="R394" s="17" t="s">
        <v>436</v>
      </c>
      <c r="S394" s="17" t="s">
        <v>147</v>
      </c>
      <c r="T394" s="17" t="s">
        <v>173</v>
      </c>
      <c r="U394" s="17" t="s">
        <v>251</v>
      </c>
      <c r="V394" s="17" t="s">
        <v>430</v>
      </c>
      <c r="W394" s="17" t="s">
        <v>424</v>
      </c>
    </row>
    <row r="395" spans="1:23" x14ac:dyDescent="0.45">
      <c r="A395" s="17" t="s">
        <v>254</v>
      </c>
      <c r="B395" s="22">
        <v>46093</v>
      </c>
      <c r="C395" s="17">
        <v>151401217</v>
      </c>
      <c r="D395" s="26">
        <f>IFERROR(SUMIF(Servicios_Promotores!$B:$B,C395,Servicios_Promotores!$R:$R),0)</f>
        <v>0</v>
      </c>
      <c r="E395" s="26">
        <f>IFERROR(SUMIF(Pago_GERE!$B:$B,C395,Pago_GERE!$R:$R),0)</f>
        <v>0</v>
      </c>
      <c r="F395" s="26">
        <f>IFERROR(SUMIF(Hoja2!$H:$H,C395,Hoja2!$U:$U),0)</f>
        <v>1398</v>
      </c>
      <c r="G395" s="17" t="str">
        <f>IFERROR(VLOOKUP(C395,Hoja3!$C:$D,2,FALSE),"")</f>
        <v>KELLY</v>
      </c>
      <c r="H395" s="22">
        <v>46094</v>
      </c>
      <c r="I395" s="17" t="s">
        <v>194</v>
      </c>
      <c r="J395" s="17" t="s">
        <v>151</v>
      </c>
      <c r="K395" s="17" t="s">
        <v>55</v>
      </c>
      <c r="L395" s="17">
        <v>10000064</v>
      </c>
      <c r="M395" s="17" t="s">
        <v>199</v>
      </c>
      <c r="N395" s="17">
        <v>22982670</v>
      </c>
      <c r="O395" s="17" t="s">
        <v>641</v>
      </c>
      <c r="P395" s="17" t="s">
        <v>534</v>
      </c>
      <c r="Q395" s="17" t="s">
        <v>253</v>
      </c>
      <c r="R395" s="17" t="s">
        <v>641</v>
      </c>
      <c r="S395" s="17" t="s">
        <v>147</v>
      </c>
      <c r="T395" s="17" t="s">
        <v>55</v>
      </c>
      <c r="U395" s="17" t="s">
        <v>251</v>
      </c>
      <c r="V395" s="17" t="s">
        <v>640</v>
      </c>
      <c r="W395" s="17" t="s">
        <v>639</v>
      </c>
    </row>
    <row r="396" spans="1:23" x14ac:dyDescent="0.45">
      <c r="A396" s="17" t="s">
        <v>254</v>
      </c>
      <c r="B396" s="22">
        <v>46092</v>
      </c>
      <c r="C396" s="17">
        <v>151399114</v>
      </c>
      <c r="D396" s="26">
        <f>IFERROR(SUMIF(Servicios_Promotores!$B:$B,C396,Servicios_Promotores!$R:$R),0)</f>
        <v>262.99999998999999</v>
      </c>
      <c r="E396" s="26">
        <f>IFERROR(SUMIF(Pago_GERE!$B:$B,C396,Pago_GERE!$R:$R),0)</f>
        <v>187.00000001799998</v>
      </c>
      <c r="F396" s="26">
        <f>IFERROR(SUMIF(Hoja2!$H:$H,C396,Hoja2!$U:$U),0)</f>
        <v>0</v>
      </c>
      <c r="G396" s="17" t="str">
        <f>IFERROR(VLOOKUP(C396,Hoja3!$C:$D,2,FALSE),"")</f>
        <v>KELLY</v>
      </c>
      <c r="H396" s="22">
        <v>46126</v>
      </c>
      <c r="I396" s="17" t="s">
        <v>163</v>
      </c>
      <c r="J396" s="17" t="s">
        <v>151</v>
      </c>
      <c r="K396" s="17" t="s">
        <v>42</v>
      </c>
      <c r="L396" s="17">
        <v>10000064</v>
      </c>
      <c r="M396" s="17" t="s">
        <v>199</v>
      </c>
      <c r="N396" s="17">
        <v>22954058</v>
      </c>
      <c r="O396" s="17" t="s">
        <v>633</v>
      </c>
      <c r="P396" s="17" t="s">
        <v>148</v>
      </c>
      <c r="Q396" s="17" t="s">
        <v>253</v>
      </c>
      <c r="R396" s="17" t="s">
        <v>633</v>
      </c>
      <c r="S396" s="17" t="s">
        <v>147</v>
      </c>
      <c r="T396" s="17" t="s">
        <v>146</v>
      </c>
      <c r="U396" s="17" t="s">
        <v>251</v>
      </c>
      <c r="V396" s="17" t="s">
        <v>344</v>
      </c>
      <c r="W396" s="17" t="s">
        <v>341</v>
      </c>
    </row>
    <row r="397" spans="1:23" x14ac:dyDescent="0.45">
      <c r="A397" s="17" t="s">
        <v>254</v>
      </c>
      <c r="B397" s="22">
        <v>46091</v>
      </c>
      <c r="C397" s="17">
        <v>151396641</v>
      </c>
      <c r="D397" s="26">
        <f>IFERROR(SUMIF(Servicios_Promotores!$B:$B,C397,Servicios_Promotores!$R:$R),0)</f>
        <v>0</v>
      </c>
      <c r="E397" s="26">
        <f>IFERROR(SUMIF(Pago_GERE!$B:$B,C397,Pago_GERE!$R:$R),0)</f>
        <v>0</v>
      </c>
      <c r="F397" s="26">
        <f>IFERROR(SUMIF(Hoja2!$H:$H,C397,Hoja2!$U:$U),0)</f>
        <v>1375</v>
      </c>
      <c r="G397" s="17" t="str">
        <f>IFERROR(VLOOKUP(C397,Hoja3!$C:$D,2,FALSE),"")</f>
        <v>KELLY</v>
      </c>
      <c r="H397" s="22">
        <v>46095</v>
      </c>
      <c r="I397" s="17" t="s">
        <v>204</v>
      </c>
      <c r="J397" s="17" t="s">
        <v>151</v>
      </c>
      <c r="K397" s="17" t="s">
        <v>61</v>
      </c>
      <c r="L397" s="17">
        <v>10000064</v>
      </c>
      <c r="M397" s="17" t="s">
        <v>199</v>
      </c>
      <c r="N397" s="17">
        <v>22928773</v>
      </c>
      <c r="O397" s="17" t="s">
        <v>617</v>
      </c>
      <c r="P397" s="17" t="s">
        <v>598</v>
      </c>
      <c r="Q397" s="17" t="s">
        <v>253</v>
      </c>
      <c r="R397" s="17" t="s">
        <v>617</v>
      </c>
      <c r="S397" s="17" t="s">
        <v>155</v>
      </c>
      <c r="T397" s="17" t="s">
        <v>587</v>
      </c>
      <c r="U397" s="17" t="s">
        <v>251</v>
      </c>
      <c r="V397" s="17" t="s">
        <v>616</v>
      </c>
      <c r="W397" s="17" t="s">
        <v>615</v>
      </c>
    </row>
    <row r="398" spans="1:23" x14ac:dyDescent="0.45">
      <c r="A398" s="17" t="s">
        <v>254</v>
      </c>
      <c r="B398" s="22">
        <v>46091</v>
      </c>
      <c r="C398" s="17">
        <v>151396709</v>
      </c>
      <c r="D398" s="26">
        <f>IFERROR(SUMIF(Servicios_Promotores!$B:$B,C398,Servicios_Promotores!$R:$R),0)</f>
        <v>49.999999998</v>
      </c>
      <c r="E398" s="26">
        <f>IFERROR(SUMIF(Pago_GERE!$B:$B,C398,Pago_GERE!$R:$R),0)</f>
        <v>49.999999998</v>
      </c>
      <c r="F398" s="26">
        <f>IFERROR(SUMIF(Hoja2!$H:$H,C398,Hoja2!$U:$U),0)</f>
        <v>0</v>
      </c>
      <c r="G398" s="17" t="str">
        <f>IFERROR(VLOOKUP(C398,Hoja3!$C:$D,2,FALSE),"")</f>
        <v>KELLY</v>
      </c>
      <c r="H398" s="22">
        <v>46094</v>
      </c>
      <c r="I398" s="17" t="s">
        <v>152</v>
      </c>
      <c r="J398" s="17" t="s">
        <v>165</v>
      </c>
      <c r="K398" s="17" t="s">
        <v>42</v>
      </c>
      <c r="L398" s="17">
        <v>10000064</v>
      </c>
      <c r="M398" s="17" t="s">
        <v>199</v>
      </c>
      <c r="N398" s="17">
        <v>23002907</v>
      </c>
      <c r="O398" s="17" t="s">
        <v>604</v>
      </c>
      <c r="P398" s="17" t="s">
        <v>148</v>
      </c>
      <c r="Q398" s="17" t="s">
        <v>253</v>
      </c>
      <c r="R398" s="17" t="s">
        <v>604</v>
      </c>
      <c r="S398" s="17" t="s">
        <v>147</v>
      </c>
      <c r="T398" s="17" t="s">
        <v>146</v>
      </c>
      <c r="U398" s="17" t="s">
        <v>251</v>
      </c>
      <c r="V398" s="17" t="s">
        <v>603</v>
      </c>
      <c r="W398" s="17" t="s">
        <v>315</v>
      </c>
    </row>
    <row r="399" spans="1:23" x14ac:dyDescent="0.45">
      <c r="A399" s="17" t="s">
        <v>254</v>
      </c>
      <c r="B399" s="22">
        <v>46085</v>
      </c>
      <c r="C399" s="17">
        <v>151386396</v>
      </c>
      <c r="D399" s="26">
        <f>IFERROR(SUMIF(Servicios_Promotores!$B:$B,C399,Servicios_Promotores!$R:$R),0)</f>
        <v>49.999999998</v>
      </c>
      <c r="E399" s="26">
        <f>IFERROR(SUMIF(Pago_GERE!$B:$B,C399,Pago_GERE!$R:$R),0)</f>
        <v>49.999999998</v>
      </c>
      <c r="F399" s="26">
        <f>IFERROR(SUMIF(Hoja2!$H:$H,C399,Hoja2!$U:$U),0)</f>
        <v>0</v>
      </c>
      <c r="G399" s="17" t="str">
        <f>IFERROR(VLOOKUP(C399,Hoja3!$C:$D,2,FALSE),"")</f>
        <v>KELLY</v>
      </c>
      <c r="H399" s="22">
        <v>46087</v>
      </c>
      <c r="I399" s="17" t="s">
        <v>194</v>
      </c>
      <c r="J399" s="17" t="s">
        <v>151</v>
      </c>
      <c r="K399" s="17" t="s">
        <v>31</v>
      </c>
      <c r="L399" s="17">
        <v>10000064</v>
      </c>
      <c r="M399" s="17" t="s">
        <v>199</v>
      </c>
      <c r="N399" s="17">
        <v>22782168</v>
      </c>
      <c r="O399" s="17" t="s">
        <v>564</v>
      </c>
      <c r="P399" s="17" t="s">
        <v>179</v>
      </c>
      <c r="Q399" s="17" t="s">
        <v>253</v>
      </c>
      <c r="R399" s="17" t="s">
        <v>564</v>
      </c>
      <c r="S399" s="17" t="s">
        <v>147</v>
      </c>
      <c r="T399" s="17" t="s">
        <v>178</v>
      </c>
      <c r="U399" s="17" t="s">
        <v>251</v>
      </c>
      <c r="V399" s="17" t="s">
        <v>563</v>
      </c>
      <c r="W399" s="17" t="s">
        <v>175</v>
      </c>
    </row>
    <row r="400" spans="1:23" x14ac:dyDescent="0.45">
      <c r="A400" s="17" t="s">
        <v>254</v>
      </c>
      <c r="B400" s="22">
        <v>46084</v>
      </c>
      <c r="C400" s="17">
        <v>151384604</v>
      </c>
      <c r="D400" s="26">
        <f>IFERROR(SUMIF(Servicios_Promotores!$B:$B,C400,Servicios_Promotores!$R:$R),0)</f>
        <v>49.999999998</v>
      </c>
      <c r="E400" s="26">
        <f>IFERROR(SUMIF(Pago_GERE!$B:$B,C400,Pago_GERE!$R:$R),0)</f>
        <v>49.999999998</v>
      </c>
      <c r="F400" s="26">
        <f>IFERROR(SUMIF(Hoja2!$H:$H,C400,Hoja2!$U:$U),0)</f>
        <v>0</v>
      </c>
      <c r="G400" s="17" t="str">
        <f>IFERROR(VLOOKUP(C400,Hoja3!$C:$D,2,FALSE),"")</f>
        <v>KELLY</v>
      </c>
      <c r="H400" s="22">
        <v>46085</v>
      </c>
      <c r="I400" s="17" t="s">
        <v>163</v>
      </c>
      <c r="J400" s="17" t="s">
        <v>151</v>
      </c>
      <c r="K400" s="17" t="s">
        <v>39</v>
      </c>
      <c r="L400" s="17">
        <v>10000064</v>
      </c>
      <c r="M400" s="17" t="s">
        <v>199</v>
      </c>
      <c r="N400" s="17">
        <v>22761757</v>
      </c>
      <c r="O400" s="17" t="s">
        <v>541</v>
      </c>
      <c r="P400" s="17" t="s">
        <v>160</v>
      </c>
      <c r="Q400" s="17" t="s">
        <v>253</v>
      </c>
      <c r="R400" s="17" t="s">
        <v>541</v>
      </c>
      <c r="S400" s="17" t="s">
        <v>147</v>
      </c>
      <c r="T400" s="17" t="s">
        <v>159</v>
      </c>
      <c r="U400" s="17" t="s">
        <v>251</v>
      </c>
      <c r="V400" s="17" t="s">
        <v>540</v>
      </c>
      <c r="W400" s="17" t="s">
        <v>539</v>
      </c>
    </row>
    <row r="401" spans="1:23" x14ac:dyDescent="0.45">
      <c r="A401" s="17" t="s">
        <v>254</v>
      </c>
      <c r="B401" s="22">
        <v>46083</v>
      </c>
      <c r="C401" s="17">
        <v>151381611</v>
      </c>
      <c r="D401" s="26">
        <f>IFERROR(SUMIF(Servicios_Promotores!$B:$B,C401,Servicios_Promotores!$R:$R),0)</f>
        <v>0</v>
      </c>
      <c r="E401" s="26">
        <f>IFERROR(SUMIF(Pago_GERE!$B:$B,C401,Pago_GERE!$R:$R),0)</f>
        <v>0</v>
      </c>
      <c r="F401" s="26">
        <f>IFERROR(SUMIF(Hoja2!$H:$H,C401,Hoja2!$U:$U),0)</f>
        <v>747</v>
      </c>
      <c r="G401" s="17" t="str">
        <f>IFERROR(VLOOKUP(C401,Hoja3!$C:$D,2,FALSE),"")</f>
        <v>KELLY</v>
      </c>
      <c r="H401" s="22">
        <v>46087</v>
      </c>
      <c r="I401" s="17" t="s">
        <v>152</v>
      </c>
      <c r="J401" s="17" t="s">
        <v>165</v>
      </c>
      <c r="K401" s="17" t="s">
        <v>55</v>
      </c>
      <c r="L401" s="17">
        <v>10000064</v>
      </c>
      <c r="M401" s="17" t="s">
        <v>199</v>
      </c>
      <c r="N401" s="17">
        <v>22819823</v>
      </c>
      <c r="O401" s="17" t="s">
        <v>533</v>
      </c>
      <c r="P401" s="17" t="s">
        <v>534</v>
      </c>
      <c r="Q401" s="17" t="s">
        <v>253</v>
      </c>
      <c r="R401" s="17" t="s">
        <v>533</v>
      </c>
      <c r="S401" s="17" t="s">
        <v>147</v>
      </c>
      <c r="T401" s="17" t="s">
        <v>55</v>
      </c>
      <c r="U401" s="17" t="s">
        <v>251</v>
      </c>
      <c r="V401" s="17" t="s">
        <v>532</v>
      </c>
      <c r="W401" s="17" t="s">
        <v>531</v>
      </c>
    </row>
    <row r="402" spans="1:23" x14ac:dyDescent="0.45">
      <c r="A402" s="17" t="s">
        <v>254</v>
      </c>
      <c r="B402" s="22">
        <v>46083</v>
      </c>
      <c r="C402" s="17">
        <v>151381657</v>
      </c>
      <c r="D402" s="26">
        <f>IFERROR(SUMIF(Servicios_Promotores!$B:$B,C402,Servicios_Promotores!$R:$R),0)</f>
        <v>0</v>
      </c>
      <c r="E402" s="26">
        <f>IFERROR(SUMIF(Pago_GERE!$B:$B,C402,Pago_GERE!$R:$R),0)</f>
        <v>0</v>
      </c>
      <c r="F402" s="26">
        <f>IFERROR(SUMIF(Hoja2!$H:$H,C402,Hoja2!$U:$U),0)</f>
        <v>0</v>
      </c>
      <c r="G402" s="17" t="str">
        <f>IFERROR(VLOOKUP(C402,Hoja3!$C:$D,2,FALSE),"")</f>
        <v>KELLY</v>
      </c>
      <c r="H402" s="22">
        <v>46084</v>
      </c>
      <c r="I402" s="17" t="s">
        <v>158</v>
      </c>
      <c r="J402" s="17" t="s">
        <v>151</v>
      </c>
      <c r="K402" s="17" t="s">
        <v>62</v>
      </c>
      <c r="L402" s="17">
        <v>10000064</v>
      </c>
      <c r="M402" s="17" t="s">
        <v>199</v>
      </c>
      <c r="N402" s="17">
        <v>22731602</v>
      </c>
      <c r="O402" s="17" t="s">
        <v>525</v>
      </c>
      <c r="P402" s="17" t="s">
        <v>188</v>
      </c>
      <c r="Q402" s="17" t="s">
        <v>253</v>
      </c>
      <c r="R402" s="17" t="s">
        <v>525</v>
      </c>
      <c r="S402" s="17" t="s">
        <v>155</v>
      </c>
      <c r="T402" s="17" t="s">
        <v>187</v>
      </c>
      <c r="U402" s="17" t="s">
        <v>251</v>
      </c>
      <c r="V402" s="17" t="s">
        <v>524</v>
      </c>
      <c r="W402" s="17" t="s">
        <v>523</v>
      </c>
    </row>
    <row r="403" spans="1:23" x14ac:dyDescent="0.45">
      <c r="A403" s="17" t="s">
        <v>254</v>
      </c>
      <c r="B403" s="22">
        <v>46084</v>
      </c>
      <c r="C403" s="17">
        <v>151384631</v>
      </c>
      <c r="D403" s="26">
        <f>IFERROR(SUMIF(Servicios_Promotores!$B:$B,C403,Servicios_Promotores!$R:$R),0)</f>
        <v>0</v>
      </c>
      <c r="E403" s="26">
        <f>IFERROR(SUMIF(Pago_GERE!$B:$B,C403,Pago_GERE!$R:$R),0)</f>
        <v>0</v>
      </c>
      <c r="F403" s="26">
        <f>IFERROR(SUMIF(Hoja2!$H:$H,C403,Hoja2!$U:$U),0)</f>
        <v>1353</v>
      </c>
      <c r="G403" s="17" t="str">
        <f>IFERROR(VLOOKUP(C403,Hoja3!$C:$D,2,FALSE),"")</f>
        <v>KELLY</v>
      </c>
      <c r="H403" s="22">
        <v>46086</v>
      </c>
      <c r="I403" s="17" t="s">
        <v>152</v>
      </c>
      <c r="J403" s="17" t="s">
        <v>151</v>
      </c>
      <c r="K403" s="17" t="s">
        <v>31</v>
      </c>
      <c r="L403" s="17">
        <v>10000064</v>
      </c>
      <c r="M403" s="17" t="s">
        <v>536</v>
      </c>
      <c r="N403" s="17">
        <v>22764779</v>
      </c>
      <c r="O403" s="17" t="s">
        <v>535</v>
      </c>
      <c r="P403" s="17" t="s">
        <v>179</v>
      </c>
      <c r="Q403" s="17" t="s">
        <v>253</v>
      </c>
      <c r="R403" s="17" t="s">
        <v>535</v>
      </c>
      <c r="S403" s="17" t="s">
        <v>147</v>
      </c>
      <c r="T403" s="17" t="s">
        <v>178</v>
      </c>
      <c r="U403" s="17" t="s">
        <v>251</v>
      </c>
      <c r="V403" s="17" t="s">
        <v>505</v>
      </c>
      <c r="W403" s="17" t="s">
        <v>175</v>
      </c>
    </row>
    <row r="404" spans="1:23" x14ac:dyDescent="0.45">
      <c r="A404" s="17" t="s">
        <v>254</v>
      </c>
      <c r="B404" s="22">
        <v>46153</v>
      </c>
      <c r="C404" s="17">
        <v>151500396</v>
      </c>
      <c r="D404" s="26">
        <f>IFERROR(SUMIF(Servicios_Promotores!$B:$B,C404,Servicios_Promotores!$R:$R),0)</f>
        <v>262.99999998999999</v>
      </c>
      <c r="E404" s="26">
        <f>IFERROR(SUMIF(Pago_GERE!$B:$B,C404,Pago_GERE!$R:$R),0)</f>
        <v>187.000000005</v>
      </c>
      <c r="F404" s="26">
        <f>IFERROR(SUMIF(Hoja2!$H:$H,C404,Hoja2!$U:$U),0)</f>
        <v>0</v>
      </c>
      <c r="G404" s="17" t="str">
        <f>IFERROR(VLOOKUP(C404,Hoja3!$C:$D,2,FALSE),"")</f>
        <v>KEVIN</v>
      </c>
      <c r="H404" s="22">
        <v>46153</v>
      </c>
      <c r="I404" s="17" t="s">
        <v>158</v>
      </c>
      <c r="J404" s="17" t="s">
        <v>151</v>
      </c>
      <c r="K404" s="17" t="s">
        <v>42</v>
      </c>
      <c r="L404" s="17">
        <v>10000064</v>
      </c>
      <c r="M404" s="17" t="s">
        <v>161</v>
      </c>
      <c r="N404" s="17">
        <v>25029561</v>
      </c>
      <c r="O404" s="17" t="s">
        <v>320</v>
      </c>
      <c r="P404" s="17" t="s">
        <v>148</v>
      </c>
      <c r="Q404" s="17" t="s">
        <v>253</v>
      </c>
      <c r="R404" s="17" t="s">
        <v>320</v>
      </c>
      <c r="S404" s="17" t="s">
        <v>155</v>
      </c>
      <c r="T404" s="17" t="s">
        <v>146</v>
      </c>
      <c r="U404" s="17" t="s">
        <v>251</v>
      </c>
      <c r="V404" s="17" t="s">
        <v>319</v>
      </c>
      <c r="W404" s="17" t="s">
        <v>318</v>
      </c>
    </row>
    <row r="405" spans="1:23" x14ac:dyDescent="0.45">
      <c r="A405" s="17" t="s">
        <v>1065</v>
      </c>
      <c r="B405" s="22">
        <v>46154</v>
      </c>
      <c r="C405" s="17">
        <v>151503029</v>
      </c>
      <c r="D405" s="26">
        <f>IFERROR(SUMIF(Servicios_Promotores!$B:$B,C405,Servicios_Promotores!$R:$R),0)</f>
        <v>0</v>
      </c>
      <c r="E405" s="26">
        <f>IFERROR(SUMIF(Pago_GERE!$B:$B,C405,Pago_GERE!$R:$R),0)</f>
        <v>0</v>
      </c>
      <c r="F405" s="26">
        <f>IFERROR(SUMIF(Hoja2!$H:$H,C405,Hoja2!$U:$U),0)</f>
        <v>0</v>
      </c>
      <c r="G405" s="17" t="str">
        <f>IFERROR(VLOOKUP(C405,Hoja3!$C:$D,2,FALSE),"")</f>
        <v>KEVIN</v>
      </c>
      <c r="H405" s="17"/>
      <c r="I405" s="17" t="s">
        <v>158</v>
      </c>
      <c r="J405" s="17" t="s">
        <v>151</v>
      </c>
      <c r="K405" s="17" t="s">
        <v>55</v>
      </c>
      <c r="L405" s="17">
        <v>10001013</v>
      </c>
      <c r="M405" s="17" t="s">
        <v>157</v>
      </c>
      <c r="N405" s="17">
        <v>25079830</v>
      </c>
      <c r="O405" s="17" t="s">
        <v>1068</v>
      </c>
      <c r="P405" s="17" t="s">
        <v>296</v>
      </c>
      <c r="Q405" s="17" t="s">
        <v>1064</v>
      </c>
      <c r="R405" s="17" t="s">
        <v>1068</v>
      </c>
      <c r="S405" s="17" t="s">
        <v>155</v>
      </c>
      <c r="T405" s="17" t="s">
        <v>257</v>
      </c>
      <c r="U405" s="17" t="s">
        <v>251</v>
      </c>
      <c r="V405" s="17"/>
      <c r="W405" s="17"/>
    </row>
    <row r="406" spans="1:23" x14ac:dyDescent="0.45">
      <c r="A406" s="17" t="s">
        <v>254</v>
      </c>
      <c r="B406" s="22">
        <v>46150</v>
      </c>
      <c r="C406" s="17">
        <v>151497756</v>
      </c>
      <c r="D406" s="26">
        <f>IFERROR(SUMIF(Servicios_Promotores!$B:$B,C406,Servicios_Promotores!$R:$R),0)</f>
        <v>262.99999998999999</v>
      </c>
      <c r="E406" s="26">
        <f>IFERROR(SUMIF(Pago_GERE!$B:$B,C406,Pago_GERE!$R:$R),0)</f>
        <v>187.000000005</v>
      </c>
      <c r="F406" s="26">
        <f>IFERROR(SUMIF(Hoja2!$H:$H,C406,Hoja2!$U:$U),0)</f>
        <v>0</v>
      </c>
      <c r="G406" s="17" t="str">
        <f>IFERROR(VLOOKUP(C406,Hoja3!$C:$D,2,FALSE),"")</f>
        <v>KEVIN</v>
      </c>
      <c r="H406" s="22">
        <v>46153</v>
      </c>
      <c r="I406" s="17" t="s">
        <v>152</v>
      </c>
      <c r="J406" s="17" t="s">
        <v>165</v>
      </c>
      <c r="K406" s="17" t="s">
        <v>55</v>
      </c>
      <c r="L406" s="17">
        <v>10001013</v>
      </c>
      <c r="M406" s="17" t="s">
        <v>157</v>
      </c>
      <c r="N406" s="17">
        <v>25038506</v>
      </c>
      <c r="O406" s="17" t="s">
        <v>304</v>
      </c>
      <c r="P406" s="17" t="s">
        <v>296</v>
      </c>
      <c r="Q406" s="17" t="s">
        <v>253</v>
      </c>
      <c r="R406" s="17" t="s">
        <v>304</v>
      </c>
      <c r="S406" s="17" t="s">
        <v>147</v>
      </c>
      <c r="T406" s="17" t="s">
        <v>257</v>
      </c>
      <c r="U406" s="17" t="s">
        <v>251</v>
      </c>
      <c r="V406" s="17" t="s">
        <v>303</v>
      </c>
      <c r="W406" s="17" t="s">
        <v>302</v>
      </c>
    </row>
    <row r="407" spans="1:23" x14ac:dyDescent="0.45">
      <c r="A407" s="17" t="s">
        <v>254</v>
      </c>
      <c r="B407" s="22">
        <v>46150</v>
      </c>
      <c r="C407" s="17">
        <v>151496895</v>
      </c>
      <c r="D407" s="26">
        <f>IFERROR(SUMIF(Servicios_Promotores!$B:$B,C407,Servicios_Promotores!$R:$R),0)</f>
        <v>262.99999998999999</v>
      </c>
      <c r="E407" s="26">
        <f>IFERROR(SUMIF(Pago_GERE!$B:$B,C407,Pago_GERE!$R:$R),0)</f>
        <v>187.000000005</v>
      </c>
      <c r="F407" s="26">
        <f>IFERROR(SUMIF(Hoja2!$H:$H,C407,Hoja2!$U:$U),0)</f>
        <v>0</v>
      </c>
      <c r="G407" s="17" t="str">
        <f>IFERROR(VLOOKUP(C407,Hoja3!$C:$D,2,FALSE),"")</f>
        <v>KEVIN</v>
      </c>
      <c r="H407" s="22">
        <v>46153</v>
      </c>
      <c r="I407" s="17" t="s">
        <v>152</v>
      </c>
      <c r="J407" s="17" t="s">
        <v>165</v>
      </c>
      <c r="K407" s="17" t="s">
        <v>55</v>
      </c>
      <c r="L407" s="17">
        <v>10001013</v>
      </c>
      <c r="M407" s="17" t="s">
        <v>157</v>
      </c>
      <c r="N407" s="17">
        <v>25038507</v>
      </c>
      <c r="O407" s="17" t="s">
        <v>298</v>
      </c>
      <c r="P407" s="17" t="s">
        <v>221</v>
      </c>
      <c r="Q407" s="17" t="s">
        <v>253</v>
      </c>
      <c r="R407" s="17" t="s">
        <v>298</v>
      </c>
      <c r="S407" s="17" t="s">
        <v>147</v>
      </c>
      <c r="T407" s="17" t="s">
        <v>55</v>
      </c>
      <c r="U407" s="17" t="s">
        <v>251</v>
      </c>
      <c r="V407" s="17" t="s">
        <v>280</v>
      </c>
      <c r="W407" s="17" t="s">
        <v>279</v>
      </c>
    </row>
    <row r="408" spans="1:23" x14ac:dyDescent="0.45">
      <c r="A408" s="17" t="s">
        <v>254</v>
      </c>
      <c r="B408" s="22">
        <v>46150</v>
      </c>
      <c r="C408" s="17">
        <v>151497732</v>
      </c>
      <c r="D408" s="26">
        <f>IFERROR(SUMIF(Servicios_Promotores!$B:$B,C408,Servicios_Promotores!$R:$R),0)</f>
        <v>0</v>
      </c>
      <c r="E408" s="26">
        <f>IFERROR(SUMIF(Pago_GERE!$B:$B,C408,Pago_GERE!$R:$R),0)</f>
        <v>0</v>
      </c>
      <c r="F408" s="26">
        <f>IFERROR(SUMIF(Hoja2!$H:$H,C408,Hoja2!$U:$U),0)</f>
        <v>0</v>
      </c>
      <c r="G408" s="17" t="str">
        <f>IFERROR(VLOOKUP(C408,Hoja3!$C:$D,2,FALSE),"")</f>
        <v>KEVIN</v>
      </c>
      <c r="H408" s="22">
        <v>46168</v>
      </c>
      <c r="I408" s="17" t="s">
        <v>152</v>
      </c>
      <c r="J408" s="17" t="s">
        <v>165</v>
      </c>
      <c r="K408" s="17" t="s">
        <v>55</v>
      </c>
      <c r="L408" s="17">
        <v>10001013</v>
      </c>
      <c r="M408" s="17" t="s">
        <v>157</v>
      </c>
      <c r="N408" s="17">
        <v>24917748</v>
      </c>
      <c r="O408" s="17" t="s">
        <v>297</v>
      </c>
      <c r="P408" s="17" t="s">
        <v>296</v>
      </c>
      <c r="Q408" s="17" t="s">
        <v>253</v>
      </c>
      <c r="R408" s="17" t="s">
        <v>297</v>
      </c>
      <c r="S408" s="17" t="s">
        <v>147</v>
      </c>
      <c r="T408" s="17" t="s">
        <v>257</v>
      </c>
      <c r="U408" s="17" t="s">
        <v>251</v>
      </c>
      <c r="V408" s="17"/>
      <c r="W408" s="17"/>
    </row>
    <row r="409" spans="1:23" x14ac:dyDescent="0.45">
      <c r="A409" s="17" t="s">
        <v>254</v>
      </c>
      <c r="B409" s="22">
        <v>46148</v>
      </c>
      <c r="C409" s="17">
        <v>151494524</v>
      </c>
      <c r="D409" s="26">
        <f>IFERROR(SUMIF(Servicios_Promotores!$B:$B,C409,Servicios_Promotores!$R:$R),0)</f>
        <v>262.99999998999999</v>
      </c>
      <c r="E409" s="26">
        <f>IFERROR(SUMIF(Pago_GERE!$B:$B,C409,Pago_GERE!$R:$R),0)</f>
        <v>187.000000005</v>
      </c>
      <c r="F409" s="26">
        <f>IFERROR(SUMIF(Hoja2!$H:$H,C409,Hoja2!$U:$U),0)</f>
        <v>0</v>
      </c>
      <c r="G409" s="17" t="str">
        <f>IFERROR(VLOOKUP(C409,Hoja3!$C:$D,2,FALSE),"")</f>
        <v>KEVIN</v>
      </c>
      <c r="H409" s="22">
        <v>46150</v>
      </c>
      <c r="I409" s="17" t="s">
        <v>197</v>
      </c>
      <c r="J409" s="17" t="s">
        <v>165</v>
      </c>
      <c r="K409" s="17" t="s">
        <v>55</v>
      </c>
      <c r="L409" s="17">
        <v>10001013</v>
      </c>
      <c r="M409" s="17" t="s">
        <v>157</v>
      </c>
      <c r="N409" s="17">
        <v>24851283</v>
      </c>
      <c r="O409" s="17" t="s">
        <v>281</v>
      </c>
      <c r="P409" s="17" t="s">
        <v>221</v>
      </c>
      <c r="Q409" s="17" t="s">
        <v>253</v>
      </c>
      <c r="R409" s="17" t="s">
        <v>281</v>
      </c>
      <c r="S409" s="17" t="s">
        <v>147</v>
      </c>
      <c r="T409" s="17" t="s">
        <v>55</v>
      </c>
      <c r="U409" s="17" t="s">
        <v>251</v>
      </c>
      <c r="V409" s="17" t="s">
        <v>280</v>
      </c>
      <c r="W409" s="17" t="s">
        <v>279</v>
      </c>
    </row>
    <row r="410" spans="1:23" x14ac:dyDescent="0.45">
      <c r="A410" s="17" t="s">
        <v>1065</v>
      </c>
      <c r="B410" s="22">
        <v>46070</v>
      </c>
      <c r="C410" s="17">
        <v>151358427</v>
      </c>
      <c r="D410" s="26">
        <f>IFERROR(SUMIF(Servicios_Promotores!$B:$B,C410,Servicios_Promotores!$R:$R),0)</f>
        <v>0</v>
      </c>
      <c r="E410" s="26">
        <f>IFERROR(SUMIF(Pago_GERE!$B:$B,C410,Pago_GERE!$R:$R),0)</f>
        <v>0</v>
      </c>
      <c r="F410" s="26">
        <f>IFERROR(SUMIF(Hoja2!$H:$H,C410,Hoja2!$U:$U),0)</f>
        <v>0</v>
      </c>
      <c r="G410" s="17" t="str">
        <f>IFERROR(VLOOKUP(C410,Hoja3!$C:$D,2,FALSE),"")</f>
        <v>KIARA AQUINO</v>
      </c>
      <c r="H410" s="17"/>
      <c r="I410" s="17" t="s">
        <v>158</v>
      </c>
      <c r="J410" s="17" t="s">
        <v>151</v>
      </c>
      <c r="K410" s="17" t="s">
        <v>101</v>
      </c>
      <c r="L410" s="17">
        <v>10001013</v>
      </c>
      <c r="M410" s="17" t="s">
        <v>207</v>
      </c>
      <c r="N410" s="17">
        <v>22438391</v>
      </c>
      <c r="O410" s="17" t="s">
        <v>1066</v>
      </c>
      <c r="P410" s="17" t="s">
        <v>156</v>
      </c>
      <c r="Q410" s="17" t="s">
        <v>1064</v>
      </c>
      <c r="R410" s="17" t="s">
        <v>1066</v>
      </c>
      <c r="S410" s="17" t="s">
        <v>155</v>
      </c>
      <c r="T410" s="17" t="s">
        <v>154</v>
      </c>
      <c r="U410" s="17" t="s">
        <v>251</v>
      </c>
      <c r="V410" s="17"/>
      <c r="W410" s="17"/>
    </row>
    <row r="411" spans="1:23" x14ac:dyDescent="0.45">
      <c r="A411" s="17" t="s">
        <v>1065</v>
      </c>
      <c r="B411" s="22">
        <v>46070</v>
      </c>
      <c r="C411" s="17">
        <v>151358286</v>
      </c>
      <c r="D411" s="26">
        <f>IFERROR(SUMIF(Servicios_Promotores!$B:$B,C411,Servicios_Promotores!$R:$R),0)</f>
        <v>0</v>
      </c>
      <c r="E411" s="26">
        <f>IFERROR(SUMIF(Pago_GERE!$B:$B,C411,Pago_GERE!$R:$R),0)</f>
        <v>0</v>
      </c>
      <c r="F411" s="26">
        <f>IFERROR(SUMIF(Hoja2!$H:$H,C411,Hoja2!$U:$U),0)</f>
        <v>0</v>
      </c>
      <c r="G411" s="17" t="str">
        <f>IFERROR(VLOOKUP(C411,Hoja3!$C:$D,2,FALSE),"")</f>
        <v>KIARA AQUINO</v>
      </c>
      <c r="H411" s="17"/>
      <c r="I411" s="17" t="s">
        <v>158</v>
      </c>
      <c r="J411" s="17" t="s">
        <v>151</v>
      </c>
      <c r="K411" s="17" t="s">
        <v>55</v>
      </c>
      <c r="L411" s="17">
        <v>10001013</v>
      </c>
      <c r="M411" s="17" t="s">
        <v>207</v>
      </c>
      <c r="N411" s="17">
        <v>22441447</v>
      </c>
      <c r="O411" s="17" t="s">
        <v>1066</v>
      </c>
      <c r="P411" s="17" t="s">
        <v>222</v>
      </c>
      <c r="Q411" s="17" t="s">
        <v>1064</v>
      </c>
      <c r="R411" s="17" t="s">
        <v>1066</v>
      </c>
      <c r="S411" s="17" t="s">
        <v>155</v>
      </c>
      <c r="T411" s="17" t="s">
        <v>55</v>
      </c>
      <c r="U411" s="17" t="s">
        <v>251</v>
      </c>
      <c r="V411" s="17" t="s">
        <v>210</v>
      </c>
      <c r="W411" s="17"/>
    </row>
    <row r="412" spans="1:23" x14ac:dyDescent="0.45">
      <c r="A412" s="17" t="s">
        <v>1065</v>
      </c>
      <c r="B412" s="22">
        <v>46069</v>
      </c>
      <c r="C412" s="17">
        <v>151355819</v>
      </c>
      <c r="D412" s="26">
        <f>IFERROR(SUMIF(Servicios_Promotores!$B:$B,C412,Servicios_Promotores!$R:$R),0)</f>
        <v>0</v>
      </c>
      <c r="E412" s="26">
        <f>IFERROR(SUMIF(Pago_GERE!$B:$B,C412,Pago_GERE!$R:$R),0)</f>
        <v>0</v>
      </c>
      <c r="F412" s="26">
        <f>IFERROR(SUMIF(Hoja2!$H:$H,C412,Hoja2!$U:$U),0)</f>
        <v>0</v>
      </c>
      <c r="G412" s="17" t="str">
        <f>IFERROR(VLOOKUP(C412,Hoja3!$C:$D,2,FALSE),"")</f>
        <v>KIARA AQUINO</v>
      </c>
      <c r="H412" s="17"/>
      <c r="I412" s="17" t="s">
        <v>152</v>
      </c>
      <c r="J412" s="17" t="s">
        <v>165</v>
      </c>
      <c r="K412" s="17" t="s">
        <v>42</v>
      </c>
      <c r="L412" s="17">
        <v>10001013</v>
      </c>
      <c r="M412" s="17" t="s">
        <v>207</v>
      </c>
      <c r="N412" s="17">
        <v>22411876</v>
      </c>
      <c r="O412" s="17" t="s">
        <v>1120</v>
      </c>
      <c r="P412" s="17" t="s">
        <v>192</v>
      </c>
      <c r="Q412" s="17" t="s">
        <v>1064</v>
      </c>
      <c r="R412" s="17" t="s">
        <v>1120</v>
      </c>
      <c r="S412" s="17" t="s">
        <v>147</v>
      </c>
      <c r="T412" s="17" t="s">
        <v>146</v>
      </c>
      <c r="U412" s="17" t="s">
        <v>251</v>
      </c>
      <c r="V412" s="17"/>
      <c r="W412" s="17"/>
    </row>
    <row r="413" spans="1:23" x14ac:dyDescent="0.45">
      <c r="A413" s="17" t="s">
        <v>1065</v>
      </c>
      <c r="B413" s="22">
        <v>46069</v>
      </c>
      <c r="C413" s="17">
        <v>151355770</v>
      </c>
      <c r="D413" s="26">
        <f>IFERROR(SUMIF(Servicios_Promotores!$B:$B,C413,Servicios_Promotores!$R:$R),0)</f>
        <v>0</v>
      </c>
      <c r="E413" s="26">
        <f>IFERROR(SUMIF(Pago_GERE!$B:$B,C413,Pago_GERE!$R:$R),0)</f>
        <v>0</v>
      </c>
      <c r="F413" s="26">
        <f>IFERROR(SUMIF(Hoja2!$H:$H,C413,Hoja2!$U:$U),0)</f>
        <v>0</v>
      </c>
      <c r="G413" s="17" t="str">
        <f>IFERROR(VLOOKUP(C413,Hoja3!$C:$D,2,FALSE),"")</f>
        <v>KIARA AQUINO</v>
      </c>
      <c r="H413" s="17"/>
      <c r="I413" s="17" t="s">
        <v>152</v>
      </c>
      <c r="J413" s="17" t="s">
        <v>165</v>
      </c>
      <c r="K413" s="17" t="s">
        <v>42</v>
      </c>
      <c r="L413" s="17">
        <v>10001013</v>
      </c>
      <c r="M413" s="17" t="s">
        <v>207</v>
      </c>
      <c r="N413" s="17">
        <v>22410991</v>
      </c>
      <c r="O413" s="17" t="s">
        <v>1066</v>
      </c>
      <c r="P413" s="17" t="s">
        <v>192</v>
      </c>
      <c r="Q413" s="17" t="s">
        <v>1064</v>
      </c>
      <c r="R413" s="17" t="s">
        <v>1066</v>
      </c>
      <c r="S413" s="17" t="s">
        <v>147</v>
      </c>
      <c r="T413" s="17" t="s">
        <v>146</v>
      </c>
      <c r="U413" s="17" t="s">
        <v>251</v>
      </c>
      <c r="V413" s="17"/>
      <c r="W413" s="17"/>
    </row>
    <row r="414" spans="1:23" x14ac:dyDescent="0.45">
      <c r="A414" s="17" t="s">
        <v>254</v>
      </c>
      <c r="B414" s="22">
        <v>46073</v>
      </c>
      <c r="C414" s="17">
        <v>151364520</v>
      </c>
      <c r="D414" s="26">
        <f>IFERROR(SUMIF(Servicios_Promotores!$B:$B,C414,Servicios_Promotores!$R:$R),0)</f>
        <v>0</v>
      </c>
      <c r="E414" s="26">
        <f>IFERROR(SUMIF(Pago_GERE!$B:$B,C414,Pago_GERE!$R:$R),0)</f>
        <v>0</v>
      </c>
      <c r="F414" s="26">
        <f>IFERROR(SUMIF(Hoja2!$H:$H,C414,Hoja2!$U:$U),0)</f>
        <v>0</v>
      </c>
      <c r="G414" s="17" t="str">
        <f>IFERROR(VLOOKUP(C414,Hoja3!$C:$D,2,FALSE),"")</f>
        <v>KIARA AQUINO</v>
      </c>
      <c r="H414" s="22">
        <v>46076</v>
      </c>
      <c r="I414" s="17" t="s">
        <v>158</v>
      </c>
      <c r="J414" s="17" t="s">
        <v>151</v>
      </c>
      <c r="K414" s="17" t="s">
        <v>55</v>
      </c>
      <c r="L414" s="17">
        <v>10001013</v>
      </c>
      <c r="M414" s="17" t="s">
        <v>207</v>
      </c>
      <c r="N414" s="17">
        <v>22498727</v>
      </c>
      <c r="O414" s="17" t="s">
        <v>798</v>
      </c>
      <c r="P414" s="17" t="s">
        <v>534</v>
      </c>
      <c r="Q414" s="17" t="s">
        <v>253</v>
      </c>
      <c r="R414" s="17" t="s">
        <v>798</v>
      </c>
      <c r="S414" s="17" t="s">
        <v>155</v>
      </c>
      <c r="T414" s="17" t="s">
        <v>55</v>
      </c>
      <c r="U414" s="17" t="s">
        <v>251</v>
      </c>
      <c r="V414" s="17" t="s">
        <v>797</v>
      </c>
      <c r="W414" s="17" t="s">
        <v>783</v>
      </c>
    </row>
    <row r="415" spans="1:23" x14ac:dyDescent="0.45">
      <c r="A415" s="17" t="s">
        <v>254</v>
      </c>
      <c r="B415" s="22">
        <v>46070</v>
      </c>
      <c r="C415" s="17">
        <v>151358405</v>
      </c>
      <c r="D415" s="26">
        <f>IFERROR(SUMIF(Servicios_Promotores!$B:$B,C415,Servicios_Promotores!$R:$R),0)</f>
        <v>317.99999999950001</v>
      </c>
      <c r="E415" s="26">
        <f>IFERROR(SUMIF(Pago_GERE!$B:$B,C415,Pago_GERE!$R:$R),0)</f>
        <v>272.00000003149995</v>
      </c>
      <c r="F415" s="26">
        <f>IFERROR(SUMIF(Hoja2!$H:$H,C415,Hoja2!$U:$U),0)</f>
        <v>0</v>
      </c>
      <c r="G415" s="17" t="str">
        <f>IFERROR(VLOOKUP(C415,Hoja3!$C:$D,2,FALSE),"")</f>
        <v>KIARA AQUINO</v>
      </c>
      <c r="H415" s="22">
        <v>46121</v>
      </c>
      <c r="I415" s="17" t="s">
        <v>152</v>
      </c>
      <c r="J415" s="17" t="s">
        <v>151</v>
      </c>
      <c r="K415" s="17" t="s">
        <v>39</v>
      </c>
      <c r="L415" s="17">
        <v>10001013</v>
      </c>
      <c r="M415" s="17" t="s">
        <v>207</v>
      </c>
      <c r="N415" s="17">
        <v>22437453</v>
      </c>
      <c r="O415" s="17" t="s">
        <v>777</v>
      </c>
      <c r="P415" s="17" t="s">
        <v>170</v>
      </c>
      <c r="Q415" s="17" t="s">
        <v>253</v>
      </c>
      <c r="R415" s="17" t="s">
        <v>777</v>
      </c>
      <c r="S415" s="17" t="s">
        <v>147</v>
      </c>
      <c r="T415" s="17" t="s">
        <v>169</v>
      </c>
      <c r="U415" s="17" t="s">
        <v>251</v>
      </c>
      <c r="V415" s="17" t="s">
        <v>210</v>
      </c>
      <c r="W415" s="17"/>
    </row>
    <row r="416" spans="1:23" x14ac:dyDescent="0.45">
      <c r="A416" s="17" t="s">
        <v>254</v>
      </c>
      <c r="B416" s="22">
        <v>46069</v>
      </c>
      <c r="C416" s="17">
        <v>151355954</v>
      </c>
      <c r="D416" s="26">
        <f>IFERROR(SUMIF(Servicios_Promotores!$B:$B,C416,Servicios_Promotores!$R:$R),0)</f>
        <v>0</v>
      </c>
      <c r="E416" s="26">
        <f>IFERROR(SUMIF(Pago_GERE!$B:$B,C416,Pago_GERE!$R:$R),0)</f>
        <v>0</v>
      </c>
      <c r="F416" s="26">
        <f>IFERROR(SUMIF(Hoja2!$H:$H,C416,Hoja2!$U:$U),0)</f>
        <v>999</v>
      </c>
      <c r="G416" s="17" t="str">
        <f>IFERROR(VLOOKUP(C416,Hoja3!$C:$D,2,FALSE),"")</f>
        <v>KIARA AQUINO</v>
      </c>
      <c r="H416" s="22">
        <v>46071</v>
      </c>
      <c r="I416" s="17" t="s">
        <v>158</v>
      </c>
      <c r="J416" s="17" t="s">
        <v>151</v>
      </c>
      <c r="K416" s="17" t="s">
        <v>62</v>
      </c>
      <c r="L416" s="17">
        <v>10001013</v>
      </c>
      <c r="M416" s="17" t="s">
        <v>207</v>
      </c>
      <c r="N416" s="17">
        <v>22413180</v>
      </c>
      <c r="O416" s="17" t="s">
        <v>773</v>
      </c>
      <c r="P416" s="17" t="s">
        <v>188</v>
      </c>
      <c r="Q416" s="17" t="s">
        <v>253</v>
      </c>
      <c r="R416" s="17" t="s">
        <v>773</v>
      </c>
      <c r="S416" s="17" t="s">
        <v>155</v>
      </c>
      <c r="T416" s="17" t="s">
        <v>187</v>
      </c>
      <c r="U416" s="17" t="s">
        <v>251</v>
      </c>
      <c r="V416" s="17" t="s">
        <v>210</v>
      </c>
      <c r="W416" s="17"/>
    </row>
    <row r="417" spans="1:23" x14ac:dyDescent="0.45">
      <c r="A417" s="17"/>
      <c r="B417" s="22">
        <v>46073</v>
      </c>
      <c r="C417" s="17">
        <v>151363050</v>
      </c>
      <c r="D417" s="26">
        <f>IFERROR(SUMIF(Servicios_Promotores!$B:$B,C417,Servicios_Promotores!$R:$R),0)</f>
        <v>0</v>
      </c>
      <c r="E417" s="26">
        <f>IFERROR(SUMIF(Pago_GERE!$B:$B,C417,Pago_GERE!$R:$R),0)</f>
        <v>0</v>
      </c>
      <c r="F417" s="26">
        <f>IFERROR(SUMIF(Hoja2!$H:$H,C417,Hoja2!$U:$U),0)</f>
        <v>0</v>
      </c>
      <c r="G417" s="17" t="str">
        <f>IFERROR(VLOOKUP(C417,Hoja3!$C:$D,2,FALSE),"")</f>
        <v>KIARA AQUINO</v>
      </c>
      <c r="H417" s="17"/>
      <c r="I417" s="17" t="s">
        <v>152</v>
      </c>
      <c r="J417" s="17" t="s">
        <v>151</v>
      </c>
      <c r="K417" s="17" t="s">
        <v>62</v>
      </c>
      <c r="L417" s="17">
        <v>10001013</v>
      </c>
      <c r="M417" s="17" t="s">
        <v>207</v>
      </c>
      <c r="N417" s="17">
        <v>151363050</v>
      </c>
      <c r="O417" s="17"/>
      <c r="P417" s="17" t="s">
        <v>168</v>
      </c>
      <c r="Q417" s="17"/>
      <c r="R417" s="17"/>
      <c r="S417" s="17" t="s">
        <v>147</v>
      </c>
      <c r="T417" s="17" t="s">
        <v>167</v>
      </c>
      <c r="U417" s="17" t="s">
        <v>166</v>
      </c>
      <c r="V417" s="17" t="s">
        <v>210</v>
      </c>
      <c r="W417" s="17"/>
    </row>
    <row r="418" spans="1:23" x14ac:dyDescent="0.45">
      <c r="A418" s="17" t="s">
        <v>1065</v>
      </c>
      <c r="B418" s="22">
        <v>46070</v>
      </c>
      <c r="C418" s="17">
        <v>151356366</v>
      </c>
      <c r="D418" s="26">
        <f>IFERROR(SUMIF(Servicios_Promotores!$B:$B,C418,Servicios_Promotores!$R:$R),0)</f>
        <v>0</v>
      </c>
      <c r="E418" s="26">
        <f>IFERROR(SUMIF(Pago_GERE!$B:$B,C418,Pago_GERE!$R:$R),0)</f>
        <v>0</v>
      </c>
      <c r="F418" s="26">
        <f>IFERROR(SUMIF(Hoja2!$H:$H,C418,Hoja2!$U:$U),0)</f>
        <v>0</v>
      </c>
      <c r="G418" s="17" t="str">
        <f>IFERROR(VLOOKUP(C418,Hoja3!$C:$D,2,FALSE),"")</f>
        <v>KIARA AQUINO</v>
      </c>
      <c r="H418" s="17"/>
      <c r="I418" s="17" t="s">
        <v>152</v>
      </c>
      <c r="J418" s="17" t="s">
        <v>151</v>
      </c>
      <c r="K418" s="17" t="s">
        <v>39</v>
      </c>
      <c r="L418" s="17">
        <v>10000064</v>
      </c>
      <c r="M418" s="17" t="s">
        <v>211</v>
      </c>
      <c r="N418" s="17">
        <v>22419250</v>
      </c>
      <c r="O418" s="17" t="s">
        <v>1066</v>
      </c>
      <c r="P418" s="17" t="s">
        <v>170</v>
      </c>
      <c r="Q418" s="17" t="s">
        <v>1064</v>
      </c>
      <c r="R418" s="17" t="s">
        <v>1066</v>
      </c>
      <c r="S418" s="17" t="s">
        <v>147</v>
      </c>
      <c r="T418" s="17" t="s">
        <v>169</v>
      </c>
      <c r="U418" s="17" t="s">
        <v>251</v>
      </c>
      <c r="V418" s="17" t="s">
        <v>210</v>
      </c>
      <c r="W418" s="17"/>
    </row>
    <row r="419" spans="1:23" x14ac:dyDescent="0.45">
      <c r="A419" s="17" t="s">
        <v>254</v>
      </c>
      <c r="B419" s="22">
        <v>46070</v>
      </c>
      <c r="C419" s="17">
        <v>151358256</v>
      </c>
      <c r="D419" s="26">
        <f>IFERROR(SUMIF(Servicios_Promotores!$B:$B,C419,Servicios_Promotores!$R:$R),0)</f>
        <v>0</v>
      </c>
      <c r="E419" s="26">
        <f>IFERROR(SUMIF(Pago_GERE!$B:$B,C419,Pago_GERE!$R:$R),0)</f>
        <v>0</v>
      </c>
      <c r="F419" s="26">
        <f>IFERROR(SUMIF(Hoja2!$H:$H,C419,Hoja2!$U:$U),0)</f>
        <v>0</v>
      </c>
      <c r="G419" s="17" t="str">
        <f>IFERROR(VLOOKUP(C419,Hoja3!$C:$D,2,FALSE),"")</f>
        <v>KIARA AQUINO</v>
      </c>
      <c r="H419" s="22">
        <v>46076</v>
      </c>
      <c r="I419" s="17" t="s">
        <v>163</v>
      </c>
      <c r="J419" s="17" t="s">
        <v>151</v>
      </c>
      <c r="K419" s="17" t="s">
        <v>39</v>
      </c>
      <c r="L419" s="17">
        <v>10000064</v>
      </c>
      <c r="M419" s="17" t="s">
        <v>211</v>
      </c>
      <c r="N419" s="17">
        <v>22435619</v>
      </c>
      <c r="O419" s="17" t="s">
        <v>779</v>
      </c>
      <c r="P419" s="17" t="s">
        <v>170</v>
      </c>
      <c r="Q419" s="17" t="s">
        <v>253</v>
      </c>
      <c r="R419" s="17" t="s">
        <v>779</v>
      </c>
      <c r="S419" s="17" t="s">
        <v>147</v>
      </c>
      <c r="T419" s="17" t="s">
        <v>169</v>
      </c>
      <c r="U419" s="17" t="s">
        <v>251</v>
      </c>
      <c r="V419" s="17" t="s">
        <v>778</v>
      </c>
      <c r="W419" s="17" t="s">
        <v>501</v>
      </c>
    </row>
    <row r="420" spans="1:23" x14ac:dyDescent="0.45">
      <c r="A420" s="17" t="s">
        <v>254</v>
      </c>
      <c r="B420" s="22">
        <v>46069</v>
      </c>
      <c r="C420" s="17">
        <v>151356050</v>
      </c>
      <c r="D420" s="26">
        <f>IFERROR(SUMIF(Servicios_Promotores!$B:$B,C420,Servicios_Promotores!$R:$R),0)</f>
        <v>0</v>
      </c>
      <c r="E420" s="26">
        <f>IFERROR(SUMIF(Pago_GERE!$B:$B,C420,Pago_GERE!$R:$R),0)</f>
        <v>0</v>
      </c>
      <c r="F420" s="26">
        <f>IFERROR(SUMIF(Hoja2!$H:$H,C420,Hoja2!$U:$U),0)</f>
        <v>0</v>
      </c>
      <c r="G420" s="17" t="str">
        <f>IFERROR(VLOOKUP(C420,Hoja3!$C:$D,2,FALSE),"")</f>
        <v>KIARA AQUINO</v>
      </c>
      <c r="H420" s="22">
        <v>46074</v>
      </c>
      <c r="I420" s="17" t="s">
        <v>197</v>
      </c>
      <c r="J420" s="17" t="s">
        <v>165</v>
      </c>
      <c r="K420" s="17" t="s">
        <v>61</v>
      </c>
      <c r="L420" s="17">
        <v>10000064</v>
      </c>
      <c r="M420" s="17" t="s">
        <v>211</v>
      </c>
      <c r="N420" s="17">
        <v>22501563</v>
      </c>
      <c r="O420" s="17" t="s">
        <v>772</v>
      </c>
      <c r="P420" s="17" t="s">
        <v>202</v>
      </c>
      <c r="Q420" s="17" t="s">
        <v>253</v>
      </c>
      <c r="R420" s="17" t="s">
        <v>772</v>
      </c>
      <c r="S420" s="17" t="s">
        <v>147</v>
      </c>
      <c r="T420" s="17" t="s">
        <v>201</v>
      </c>
      <c r="U420" s="17" t="s">
        <v>251</v>
      </c>
      <c r="V420" s="17" t="s">
        <v>771</v>
      </c>
      <c r="W420" s="17" t="s">
        <v>770</v>
      </c>
    </row>
    <row r="421" spans="1:23" x14ac:dyDescent="0.45">
      <c r="A421" s="17" t="s">
        <v>254</v>
      </c>
      <c r="B421" s="22">
        <v>46069</v>
      </c>
      <c r="C421" s="17">
        <v>151356015</v>
      </c>
      <c r="D421" s="26">
        <f>IFERROR(SUMIF(Servicios_Promotores!$B:$B,C421,Servicios_Promotores!$R:$R),0)</f>
        <v>0</v>
      </c>
      <c r="E421" s="26">
        <f>IFERROR(SUMIF(Pago_GERE!$B:$B,C421,Pago_GERE!$R:$R),0)</f>
        <v>0</v>
      </c>
      <c r="F421" s="26">
        <f>IFERROR(SUMIF(Hoja2!$H:$H,C421,Hoja2!$U:$U),0)</f>
        <v>0</v>
      </c>
      <c r="G421" s="17" t="str">
        <f>IFERROR(VLOOKUP(C421,Hoja3!$C:$D,2,FALSE),"")</f>
        <v>KIARA AQUINO</v>
      </c>
      <c r="H421" s="22">
        <v>46079</v>
      </c>
      <c r="I421" s="17" t="s">
        <v>197</v>
      </c>
      <c r="J421" s="17" t="s">
        <v>165</v>
      </c>
      <c r="K421" s="17" t="s">
        <v>39</v>
      </c>
      <c r="L421" s="17">
        <v>10000064</v>
      </c>
      <c r="M421" s="17" t="s">
        <v>211</v>
      </c>
      <c r="N421" s="17">
        <v>22407079</v>
      </c>
      <c r="O421" s="17" t="s">
        <v>768</v>
      </c>
      <c r="P421" s="17" t="s">
        <v>160</v>
      </c>
      <c r="Q421" s="17" t="s">
        <v>253</v>
      </c>
      <c r="R421" s="17" t="s">
        <v>768</v>
      </c>
      <c r="S421" s="17" t="s">
        <v>147</v>
      </c>
      <c r="T421" s="17" t="s">
        <v>159</v>
      </c>
      <c r="U421" s="17" t="s">
        <v>251</v>
      </c>
      <c r="V421" s="17" t="s">
        <v>767</v>
      </c>
      <c r="W421" s="17" t="s">
        <v>766</v>
      </c>
    </row>
    <row r="422" spans="1:23" x14ac:dyDescent="0.45">
      <c r="A422" s="17" t="s">
        <v>1065</v>
      </c>
      <c r="B422" s="22">
        <v>46072</v>
      </c>
      <c r="C422" s="17">
        <v>151362735</v>
      </c>
      <c r="D422" s="26">
        <f>IFERROR(SUMIF(Servicios_Promotores!$B:$B,C422,Servicios_Promotores!$R:$R),0)</f>
        <v>0</v>
      </c>
      <c r="E422" s="26">
        <f>IFERROR(SUMIF(Pago_GERE!$B:$B,C422,Pago_GERE!$R:$R),0)</f>
        <v>0</v>
      </c>
      <c r="F422" s="26">
        <f>IFERROR(SUMIF(Hoja2!$H:$H,C422,Hoja2!$U:$U),0)</f>
        <v>0</v>
      </c>
      <c r="G422" s="17" t="str">
        <f>IFERROR(VLOOKUP(C422,Hoja3!$C:$D,2,FALSE),"")</f>
        <v>KIARA AQUINO</v>
      </c>
      <c r="H422" s="17"/>
      <c r="I422" s="17" t="s">
        <v>152</v>
      </c>
      <c r="J422" s="17" t="s">
        <v>151</v>
      </c>
      <c r="K422" s="17" t="s">
        <v>42</v>
      </c>
      <c r="L422" s="17">
        <v>10001013</v>
      </c>
      <c r="M422" s="17" t="s">
        <v>183</v>
      </c>
      <c r="N422" s="17">
        <v>22483962</v>
      </c>
      <c r="O422" s="17" t="s">
        <v>1066</v>
      </c>
      <c r="P422" s="17" t="s">
        <v>148</v>
      </c>
      <c r="Q422" s="17" t="s">
        <v>1064</v>
      </c>
      <c r="R422" s="17" t="s">
        <v>1066</v>
      </c>
      <c r="S422" s="17" t="s">
        <v>147</v>
      </c>
      <c r="T422" s="17" t="s">
        <v>146</v>
      </c>
      <c r="U422" s="17" t="s">
        <v>251</v>
      </c>
      <c r="V422" s="17" t="s">
        <v>210</v>
      </c>
      <c r="W422" s="17"/>
    </row>
    <row r="423" spans="1:23" x14ac:dyDescent="0.45">
      <c r="A423" s="17" t="s">
        <v>1065</v>
      </c>
      <c r="B423" s="22">
        <v>46070</v>
      </c>
      <c r="C423" s="17">
        <v>151357960</v>
      </c>
      <c r="D423" s="26">
        <f>IFERROR(SUMIF(Servicios_Promotores!$B:$B,C423,Servicios_Promotores!$R:$R),0)</f>
        <v>0</v>
      </c>
      <c r="E423" s="26">
        <f>IFERROR(SUMIF(Pago_GERE!$B:$B,C423,Pago_GERE!$R:$R),0)</f>
        <v>0</v>
      </c>
      <c r="F423" s="26">
        <f>IFERROR(SUMIF(Hoja2!$H:$H,C423,Hoja2!$U:$U),0)</f>
        <v>0</v>
      </c>
      <c r="G423" s="17" t="str">
        <f>IFERROR(VLOOKUP(C423,Hoja3!$C:$D,2,FALSE),"")</f>
        <v>KIARA AQUINO</v>
      </c>
      <c r="H423" s="17"/>
      <c r="I423" s="17" t="s">
        <v>152</v>
      </c>
      <c r="J423" s="17" t="s">
        <v>151</v>
      </c>
      <c r="K423" s="17" t="s">
        <v>55</v>
      </c>
      <c r="L423" s="17">
        <v>10001013</v>
      </c>
      <c r="M423" s="17" t="s">
        <v>183</v>
      </c>
      <c r="N423" s="17">
        <v>22435695</v>
      </c>
      <c r="O423" s="17" t="s">
        <v>1066</v>
      </c>
      <c r="P423" s="17" t="s">
        <v>222</v>
      </c>
      <c r="Q423" s="17" t="s">
        <v>1064</v>
      </c>
      <c r="R423" s="17" t="s">
        <v>1066</v>
      </c>
      <c r="S423" s="17" t="s">
        <v>147</v>
      </c>
      <c r="T423" s="17" t="s">
        <v>55</v>
      </c>
      <c r="U423" s="17" t="s">
        <v>251</v>
      </c>
      <c r="V423" s="17" t="s">
        <v>210</v>
      </c>
      <c r="W423" s="17"/>
    </row>
    <row r="424" spans="1:23" x14ac:dyDescent="0.45">
      <c r="A424" s="17" t="s">
        <v>1065</v>
      </c>
      <c r="B424" s="22">
        <v>46069</v>
      </c>
      <c r="C424" s="17">
        <v>151355893</v>
      </c>
      <c r="D424" s="26">
        <f>IFERROR(SUMIF(Servicios_Promotores!$B:$B,C424,Servicios_Promotores!$R:$R),0)</f>
        <v>0</v>
      </c>
      <c r="E424" s="26">
        <f>IFERROR(SUMIF(Pago_GERE!$B:$B,C424,Pago_GERE!$R:$R),0)</f>
        <v>0</v>
      </c>
      <c r="F424" s="26">
        <f>IFERROR(SUMIF(Hoja2!$H:$H,C424,Hoja2!$U:$U),0)</f>
        <v>0</v>
      </c>
      <c r="G424" s="17" t="str">
        <f>IFERROR(VLOOKUP(C424,Hoja3!$C:$D,2,FALSE),"")</f>
        <v>KIARA AQUINO</v>
      </c>
      <c r="H424" s="17"/>
      <c r="I424" s="17" t="s">
        <v>152</v>
      </c>
      <c r="J424" s="17" t="s">
        <v>151</v>
      </c>
      <c r="K424" s="17" t="s">
        <v>42</v>
      </c>
      <c r="L424" s="17">
        <v>10001013</v>
      </c>
      <c r="M424" s="17" t="s">
        <v>183</v>
      </c>
      <c r="N424" s="17">
        <v>22416938</v>
      </c>
      <c r="O424" s="17" t="s">
        <v>1066</v>
      </c>
      <c r="P424" s="17" t="s">
        <v>192</v>
      </c>
      <c r="Q424" s="17" t="s">
        <v>1064</v>
      </c>
      <c r="R424" s="17" t="s">
        <v>1066</v>
      </c>
      <c r="S424" s="17" t="s">
        <v>147</v>
      </c>
      <c r="T424" s="17" t="s">
        <v>146</v>
      </c>
      <c r="U424" s="17" t="s">
        <v>251</v>
      </c>
      <c r="V424" s="17" t="s">
        <v>210</v>
      </c>
      <c r="W424" s="17"/>
    </row>
    <row r="425" spans="1:23" x14ac:dyDescent="0.45">
      <c r="A425" s="17" t="s">
        <v>254</v>
      </c>
      <c r="B425" s="22">
        <v>46073</v>
      </c>
      <c r="C425" s="17">
        <v>151363995</v>
      </c>
      <c r="D425" s="26">
        <f>IFERROR(SUMIF(Servicios_Promotores!$B:$B,C425,Servicios_Promotores!$R:$R),0)</f>
        <v>49.999999998</v>
      </c>
      <c r="E425" s="26">
        <f>IFERROR(SUMIF(Pago_GERE!$B:$B,C425,Pago_GERE!$R:$R),0)</f>
        <v>49.999999998</v>
      </c>
      <c r="F425" s="26">
        <f>IFERROR(SUMIF(Hoja2!$H:$H,C425,Hoja2!$U:$U),0)</f>
        <v>0</v>
      </c>
      <c r="G425" s="17" t="str">
        <f>IFERROR(VLOOKUP(C425,Hoja3!$C:$D,2,FALSE),"")</f>
        <v>KIARA AQUINO</v>
      </c>
      <c r="H425" s="22">
        <v>46084</v>
      </c>
      <c r="I425" s="17" t="s">
        <v>152</v>
      </c>
      <c r="J425" s="17" t="s">
        <v>165</v>
      </c>
      <c r="K425" s="17" t="s">
        <v>101</v>
      </c>
      <c r="L425" s="17">
        <v>10001013</v>
      </c>
      <c r="M425" s="17" t="s">
        <v>183</v>
      </c>
      <c r="N425" s="17">
        <v>22747554</v>
      </c>
      <c r="O425" s="17" t="s">
        <v>799</v>
      </c>
      <c r="P425" s="17" t="s">
        <v>156</v>
      </c>
      <c r="Q425" s="17" t="s">
        <v>253</v>
      </c>
      <c r="R425" s="17" t="s">
        <v>799</v>
      </c>
      <c r="S425" s="17" t="s">
        <v>147</v>
      </c>
      <c r="T425" s="17" t="s">
        <v>154</v>
      </c>
      <c r="U425" s="17" t="s">
        <v>251</v>
      </c>
      <c r="V425" s="17" t="s">
        <v>483</v>
      </c>
      <c r="W425" s="17" t="s">
        <v>249</v>
      </c>
    </row>
    <row r="426" spans="1:23" x14ac:dyDescent="0.45">
      <c r="A426" s="17" t="s">
        <v>254</v>
      </c>
      <c r="B426" s="22">
        <v>46073</v>
      </c>
      <c r="C426" s="17">
        <v>151364505</v>
      </c>
      <c r="D426" s="26">
        <f>IFERROR(SUMIF(Servicios_Promotores!$B:$B,C426,Servicios_Promotores!$R:$R),0)</f>
        <v>0</v>
      </c>
      <c r="E426" s="26">
        <f>IFERROR(SUMIF(Pago_GERE!$B:$B,C426,Pago_GERE!$R:$R),0)</f>
        <v>0</v>
      </c>
      <c r="F426" s="26">
        <f>IFERROR(SUMIF(Hoja2!$H:$H,C426,Hoja2!$U:$U),0)</f>
        <v>0</v>
      </c>
      <c r="G426" s="17" t="str">
        <f>IFERROR(VLOOKUP(C426,Hoja3!$C:$D,2,FALSE),"")</f>
        <v>KIARA AQUINO</v>
      </c>
      <c r="H426" s="22">
        <v>46076</v>
      </c>
      <c r="I426" s="17" t="s">
        <v>152</v>
      </c>
      <c r="J426" s="17" t="s">
        <v>165</v>
      </c>
      <c r="K426" s="17" t="s">
        <v>39</v>
      </c>
      <c r="L426" s="17">
        <v>10001013</v>
      </c>
      <c r="M426" s="17" t="s">
        <v>183</v>
      </c>
      <c r="N426" s="17">
        <v>22535115</v>
      </c>
      <c r="O426" s="17" t="s">
        <v>790</v>
      </c>
      <c r="P426" s="17" t="s">
        <v>170</v>
      </c>
      <c r="Q426" s="17" t="s">
        <v>253</v>
      </c>
      <c r="R426" s="17" t="s">
        <v>790</v>
      </c>
      <c r="S426" s="17" t="s">
        <v>147</v>
      </c>
      <c r="T426" s="17" t="s">
        <v>169</v>
      </c>
      <c r="U426" s="17" t="s">
        <v>251</v>
      </c>
      <c r="V426" s="17" t="s">
        <v>276</v>
      </c>
      <c r="W426" s="17" t="s">
        <v>275</v>
      </c>
    </row>
    <row r="427" spans="1:23" x14ac:dyDescent="0.45">
      <c r="A427" s="17" t="s">
        <v>254</v>
      </c>
      <c r="B427" s="22">
        <v>46073</v>
      </c>
      <c r="C427" s="17">
        <v>151364539</v>
      </c>
      <c r="D427" s="26">
        <f>IFERROR(SUMIF(Servicios_Promotores!$B:$B,C427,Servicios_Promotores!$R:$R),0)</f>
        <v>0</v>
      </c>
      <c r="E427" s="26">
        <f>IFERROR(SUMIF(Pago_GERE!$B:$B,C427,Pago_GERE!$R:$R),0)</f>
        <v>0</v>
      </c>
      <c r="F427" s="26">
        <f>IFERROR(SUMIF(Hoja2!$H:$H,C427,Hoja2!$U:$U),0)</f>
        <v>849</v>
      </c>
      <c r="G427" s="17" t="str">
        <f>IFERROR(VLOOKUP(C427,Hoja3!$C:$D,2,FALSE),"")</f>
        <v>KIARA AQUINO</v>
      </c>
      <c r="H427" s="22">
        <v>46092</v>
      </c>
      <c r="I427" s="17" t="s">
        <v>163</v>
      </c>
      <c r="J427" s="17" t="s">
        <v>151</v>
      </c>
      <c r="K427" s="17" t="s">
        <v>42</v>
      </c>
      <c r="L427" s="17">
        <v>10001013</v>
      </c>
      <c r="M427" s="17" t="s">
        <v>183</v>
      </c>
      <c r="N427" s="17">
        <v>22500822</v>
      </c>
      <c r="O427" s="17" t="s">
        <v>788</v>
      </c>
      <c r="P427" s="17" t="s">
        <v>148</v>
      </c>
      <c r="Q427" s="17" t="s">
        <v>253</v>
      </c>
      <c r="R427" s="17" t="s">
        <v>788</v>
      </c>
      <c r="S427" s="17" t="s">
        <v>147</v>
      </c>
      <c r="T427" s="17" t="s">
        <v>146</v>
      </c>
      <c r="U427" s="17" t="s">
        <v>251</v>
      </c>
      <c r="V427" s="17" t="s">
        <v>781</v>
      </c>
      <c r="W427" s="17" t="s">
        <v>780</v>
      </c>
    </row>
    <row r="428" spans="1:23" x14ac:dyDescent="0.45">
      <c r="A428" s="17" t="s">
        <v>254</v>
      </c>
      <c r="B428" s="22">
        <v>46072</v>
      </c>
      <c r="C428" s="17">
        <v>151360938</v>
      </c>
      <c r="D428" s="26">
        <f>IFERROR(SUMIF(Servicios_Promotores!$B:$B,C428,Servicios_Promotores!$R:$R),0)</f>
        <v>0</v>
      </c>
      <c r="E428" s="26">
        <f>IFERROR(SUMIF(Pago_GERE!$B:$B,C428,Pago_GERE!$R:$R),0)</f>
        <v>0</v>
      </c>
      <c r="F428" s="26">
        <f>IFERROR(SUMIF(Hoja2!$H:$H,C428,Hoja2!$U:$U),0)</f>
        <v>0</v>
      </c>
      <c r="G428" s="17" t="str">
        <f>IFERROR(VLOOKUP(C428,Hoja3!$C:$D,2,FALSE),"")</f>
        <v>KIARA AQUINO</v>
      </c>
      <c r="H428" s="22">
        <v>46073</v>
      </c>
      <c r="I428" s="17" t="s">
        <v>152</v>
      </c>
      <c r="J428" s="17" t="s">
        <v>151</v>
      </c>
      <c r="K428" s="17" t="s">
        <v>55</v>
      </c>
      <c r="L428" s="17">
        <v>10001013</v>
      </c>
      <c r="M428" s="17" t="s">
        <v>183</v>
      </c>
      <c r="N428" s="17">
        <v>22465723</v>
      </c>
      <c r="O428" s="17" t="s">
        <v>785</v>
      </c>
      <c r="P428" s="17" t="s">
        <v>534</v>
      </c>
      <c r="Q428" s="17" t="s">
        <v>253</v>
      </c>
      <c r="R428" s="17" t="s">
        <v>785</v>
      </c>
      <c r="S428" s="17" t="s">
        <v>147</v>
      </c>
      <c r="T428" s="17" t="s">
        <v>55</v>
      </c>
      <c r="U428" s="17" t="s">
        <v>251</v>
      </c>
      <c r="V428" s="17" t="s">
        <v>784</v>
      </c>
      <c r="W428" s="17" t="s">
        <v>783</v>
      </c>
    </row>
    <row r="429" spans="1:23" x14ac:dyDescent="0.45">
      <c r="A429" s="17" t="s">
        <v>254</v>
      </c>
      <c r="B429" s="22">
        <v>46072</v>
      </c>
      <c r="C429" s="17">
        <v>151362699</v>
      </c>
      <c r="D429" s="26">
        <f>IFERROR(SUMIF(Servicios_Promotores!$B:$B,C429,Servicios_Promotores!$R:$R),0)</f>
        <v>0</v>
      </c>
      <c r="E429" s="26">
        <f>IFERROR(SUMIF(Pago_GERE!$B:$B,C429,Pago_GERE!$R:$R),0)</f>
        <v>0</v>
      </c>
      <c r="F429" s="26">
        <f>IFERROR(SUMIF(Hoja2!$H:$H,C429,Hoja2!$U:$U),0)</f>
        <v>0</v>
      </c>
      <c r="G429" s="17" t="str">
        <f>IFERROR(VLOOKUP(C429,Hoja3!$C:$D,2,FALSE),"")</f>
        <v>KIARA AQUINO</v>
      </c>
      <c r="H429" s="22">
        <v>46074</v>
      </c>
      <c r="I429" s="17" t="s">
        <v>152</v>
      </c>
      <c r="J429" s="17" t="s">
        <v>165</v>
      </c>
      <c r="K429" s="17" t="s">
        <v>42</v>
      </c>
      <c r="L429" s="17">
        <v>10001013</v>
      </c>
      <c r="M429" s="17" t="s">
        <v>183</v>
      </c>
      <c r="N429" s="17">
        <v>22479131</v>
      </c>
      <c r="O429" s="17" t="s">
        <v>782</v>
      </c>
      <c r="P429" s="17" t="s">
        <v>148</v>
      </c>
      <c r="Q429" s="17" t="s">
        <v>253</v>
      </c>
      <c r="R429" s="17" t="s">
        <v>782</v>
      </c>
      <c r="S429" s="17" t="s">
        <v>147</v>
      </c>
      <c r="T429" s="17" t="s">
        <v>146</v>
      </c>
      <c r="U429" s="17" t="s">
        <v>251</v>
      </c>
      <c r="V429" s="17" t="s">
        <v>781</v>
      </c>
      <c r="W429" s="17" t="s">
        <v>780</v>
      </c>
    </row>
    <row r="430" spans="1:23" x14ac:dyDescent="0.45">
      <c r="A430" s="17" t="s">
        <v>254</v>
      </c>
      <c r="B430" s="22">
        <v>46069</v>
      </c>
      <c r="C430" s="17">
        <v>151355829</v>
      </c>
      <c r="D430" s="26">
        <f>IFERROR(SUMIF(Servicios_Promotores!$B:$B,C430,Servicios_Promotores!$R:$R),0)</f>
        <v>262.99999998999999</v>
      </c>
      <c r="E430" s="26">
        <f>IFERROR(SUMIF(Pago_GERE!$B:$B,C430,Pago_GERE!$R:$R),0)</f>
        <v>187.00000001799998</v>
      </c>
      <c r="F430" s="26">
        <f>IFERROR(SUMIF(Hoja2!$H:$H,C430,Hoja2!$U:$U),0)</f>
        <v>0</v>
      </c>
      <c r="G430" s="17" t="str">
        <f>IFERROR(VLOOKUP(C430,Hoja3!$C:$D,2,FALSE),"")</f>
        <v>KIARA AQUINO</v>
      </c>
      <c r="H430" s="22">
        <v>46140</v>
      </c>
      <c r="I430" s="17" t="s">
        <v>152</v>
      </c>
      <c r="J430" s="17" t="s">
        <v>151</v>
      </c>
      <c r="K430" s="17" t="s">
        <v>42</v>
      </c>
      <c r="L430" s="17">
        <v>10001013</v>
      </c>
      <c r="M430" s="17" t="s">
        <v>183</v>
      </c>
      <c r="N430" s="17">
        <v>22417743</v>
      </c>
      <c r="O430" s="17" t="s">
        <v>769</v>
      </c>
      <c r="P430" s="17" t="s">
        <v>192</v>
      </c>
      <c r="Q430" s="17" t="s">
        <v>253</v>
      </c>
      <c r="R430" s="17" t="s">
        <v>769</v>
      </c>
      <c r="S430" s="17" t="s">
        <v>147</v>
      </c>
      <c r="T430" s="17" t="s">
        <v>146</v>
      </c>
      <c r="U430" s="17" t="s">
        <v>251</v>
      </c>
      <c r="V430" s="17" t="s">
        <v>210</v>
      </c>
      <c r="W430" s="17"/>
    </row>
    <row r="431" spans="1:23" x14ac:dyDescent="0.45">
      <c r="A431" s="17" t="s">
        <v>254</v>
      </c>
      <c r="B431" s="22">
        <v>46137</v>
      </c>
      <c r="C431" s="17">
        <v>151477226</v>
      </c>
      <c r="D431" s="26">
        <f>IFERROR(SUMIF(Servicios_Promotores!$B:$B,C431,Servicios_Promotores!$R:$R),0)</f>
        <v>262.99999998999999</v>
      </c>
      <c r="E431" s="26">
        <f>IFERROR(SUMIF(Pago_GERE!$B:$B,C431,Pago_GERE!$R:$R),0)</f>
        <v>187.00000001799998</v>
      </c>
      <c r="F431" s="26">
        <f>IFERROR(SUMIF(Hoja2!$H:$H,C431,Hoja2!$U:$U),0)</f>
        <v>0</v>
      </c>
      <c r="G431" s="17" t="str">
        <f>IFERROR(VLOOKUP(C431,Hoja3!$C:$D,2,FALSE),"")</f>
        <v>KIARA AQUINO</v>
      </c>
      <c r="H431" s="22">
        <v>46141</v>
      </c>
      <c r="I431" s="17" t="s">
        <v>152</v>
      </c>
      <c r="J431" s="17" t="s">
        <v>165</v>
      </c>
      <c r="K431" s="17" t="s">
        <v>42</v>
      </c>
      <c r="L431" s="17">
        <v>10001013</v>
      </c>
      <c r="M431" s="17" t="s">
        <v>183</v>
      </c>
      <c r="N431" s="17">
        <v>24675410</v>
      </c>
      <c r="O431" s="17" t="s">
        <v>504</v>
      </c>
      <c r="P431" s="17" t="s">
        <v>224</v>
      </c>
      <c r="Q431" s="17" t="s">
        <v>253</v>
      </c>
      <c r="R431" s="17" t="s">
        <v>504</v>
      </c>
      <c r="S431" s="17" t="s">
        <v>147</v>
      </c>
      <c r="T431" s="17" t="s">
        <v>223</v>
      </c>
      <c r="U431" s="17" t="s">
        <v>251</v>
      </c>
      <c r="V431" s="17" t="s">
        <v>265</v>
      </c>
      <c r="W431" s="17" t="s">
        <v>264</v>
      </c>
    </row>
    <row r="432" spans="1:23" x14ac:dyDescent="0.45">
      <c r="A432" s="17" t="s">
        <v>1065</v>
      </c>
      <c r="B432" s="22">
        <v>46164</v>
      </c>
      <c r="C432" s="17">
        <v>151519485</v>
      </c>
      <c r="D432" s="26">
        <f>IFERROR(SUMIF(Servicios_Promotores!$B:$B,C432,Servicios_Promotores!$R:$R),0)</f>
        <v>0</v>
      </c>
      <c r="E432" s="26">
        <f>IFERROR(SUMIF(Pago_GERE!$B:$B,C432,Pago_GERE!$R:$R),0)</f>
        <v>0</v>
      </c>
      <c r="F432" s="26">
        <f>IFERROR(SUMIF(Hoja2!$H:$H,C432,Hoja2!$U:$U),0)</f>
        <v>0</v>
      </c>
      <c r="G432" s="17" t="s">
        <v>1552</v>
      </c>
      <c r="H432" s="17"/>
      <c r="I432" s="17" t="s">
        <v>152</v>
      </c>
      <c r="J432" s="17" t="s">
        <v>151</v>
      </c>
      <c r="K432" s="17" t="s">
        <v>55</v>
      </c>
      <c r="L432" s="17">
        <v>10000064</v>
      </c>
      <c r="M432" s="17" t="s">
        <v>149</v>
      </c>
      <c r="N432" s="17">
        <v>25260352</v>
      </c>
      <c r="O432" s="17" t="s">
        <v>1083</v>
      </c>
      <c r="P432" s="17" t="s">
        <v>221</v>
      </c>
      <c r="Q432" s="17" t="s">
        <v>1070</v>
      </c>
      <c r="R432" s="17" t="s">
        <v>1083</v>
      </c>
      <c r="S432" s="17" t="s">
        <v>147</v>
      </c>
      <c r="T432" s="17" t="s">
        <v>55</v>
      </c>
      <c r="U432" s="17" t="s">
        <v>251</v>
      </c>
      <c r="V432" s="17"/>
      <c r="W432" s="17"/>
    </row>
    <row r="433" spans="1:23" x14ac:dyDescent="0.45">
      <c r="A433" s="17" t="s">
        <v>1065</v>
      </c>
      <c r="B433" s="22">
        <v>46164</v>
      </c>
      <c r="C433" s="17">
        <v>151520644</v>
      </c>
      <c r="D433" s="26">
        <f>IFERROR(SUMIF(Servicios_Promotores!$B:$B,C433,Servicios_Promotores!$R:$R),0)</f>
        <v>0</v>
      </c>
      <c r="E433" s="26">
        <f>IFERROR(SUMIF(Pago_GERE!$B:$B,C433,Pago_GERE!$R:$R),0)</f>
        <v>0</v>
      </c>
      <c r="F433" s="26">
        <f>IFERROR(SUMIF(Hoja2!$H:$H,C433,Hoja2!$U:$U),0)</f>
        <v>0</v>
      </c>
      <c r="G433" s="17" t="s">
        <v>1552</v>
      </c>
      <c r="H433" s="17"/>
      <c r="I433" s="17" t="s">
        <v>152</v>
      </c>
      <c r="J433" s="17" t="s">
        <v>151</v>
      </c>
      <c r="K433" s="17" t="s">
        <v>39</v>
      </c>
      <c r="L433" s="17">
        <v>10000064</v>
      </c>
      <c r="M433" s="17" t="s">
        <v>149</v>
      </c>
      <c r="N433" s="17">
        <v>25308577</v>
      </c>
      <c r="O433" s="17" t="s">
        <v>1073</v>
      </c>
      <c r="P433" s="17" t="s">
        <v>170</v>
      </c>
      <c r="Q433" s="17" t="s">
        <v>1070</v>
      </c>
      <c r="R433" s="17" t="s">
        <v>1073</v>
      </c>
      <c r="S433" s="17" t="s">
        <v>147</v>
      </c>
      <c r="T433" s="17" t="s">
        <v>169</v>
      </c>
      <c r="U433" s="17" t="s">
        <v>251</v>
      </c>
      <c r="V433" s="17"/>
      <c r="W433" s="17"/>
    </row>
    <row r="434" spans="1:23" x14ac:dyDescent="0.45">
      <c r="A434" s="17" t="s">
        <v>254</v>
      </c>
      <c r="B434" s="22">
        <v>46167</v>
      </c>
      <c r="C434" s="17">
        <v>151524500</v>
      </c>
      <c r="D434" s="26">
        <f>IFERROR(SUMIF(Servicios_Promotores!$B:$B,C434,Servicios_Promotores!$R:$R),0)</f>
        <v>0</v>
      </c>
      <c r="E434" s="26">
        <f>IFERROR(SUMIF(Pago_GERE!$B:$B,C434,Pago_GERE!$R:$R),0)</f>
        <v>0</v>
      </c>
      <c r="F434" s="26">
        <f>IFERROR(SUMIF(Hoja2!$H:$H,C434,Hoja2!$U:$U),0)</f>
        <v>0</v>
      </c>
      <c r="G434" s="17" t="s">
        <v>1552</v>
      </c>
      <c r="H434" s="22">
        <v>46168</v>
      </c>
      <c r="I434" s="17" t="s">
        <v>152</v>
      </c>
      <c r="J434" s="17" t="s">
        <v>151</v>
      </c>
      <c r="K434" s="17" t="s">
        <v>42</v>
      </c>
      <c r="L434" s="17">
        <v>10000064</v>
      </c>
      <c r="M434" s="17" t="s">
        <v>149</v>
      </c>
      <c r="N434" s="17">
        <v>25330763</v>
      </c>
      <c r="O434" s="17" t="s">
        <v>327</v>
      </c>
      <c r="P434" s="17" t="s">
        <v>224</v>
      </c>
      <c r="Q434" s="17" t="s">
        <v>253</v>
      </c>
      <c r="R434" s="17" t="s">
        <v>327</v>
      </c>
      <c r="S434" s="17" t="s">
        <v>147</v>
      </c>
      <c r="T434" s="17" t="s">
        <v>223</v>
      </c>
      <c r="U434" s="17" t="s">
        <v>251</v>
      </c>
      <c r="V434" s="17"/>
      <c r="W434" s="17"/>
    </row>
    <row r="435" spans="1:23" x14ac:dyDescent="0.45">
      <c r="A435" s="17" t="s">
        <v>1065</v>
      </c>
      <c r="B435" s="22">
        <v>46070</v>
      </c>
      <c r="C435" s="17">
        <v>151358176</v>
      </c>
      <c r="D435" s="26">
        <f>IFERROR(SUMIF(Servicios_Promotores!$B:$B,C435,Servicios_Promotores!$R:$R),0)</f>
        <v>0</v>
      </c>
      <c r="E435" s="26">
        <f>IFERROR(SUMIF(Pago_GERE!$B:$B,C435,Pago_GERE!$R:$R),0)</f>
        <v>0</v>
      </c>
      <c r="F435" s="26">
        <f>IFERROR(SUMIF(Hoja2!$H:$H,C435,Hoja2!$U:$U),0)</f>
        <v>0</v>
      </c>
      <c r="G435" s="17" t="str">
        <f>IFERROR(VLOOKUP(C435,Hoja3!$C:$D,2,FALSE),"")</f>
        <v>KIARA AQUINO</v>
      </c>
      <c r="H435" s="17"/>
      <c r="I435" s="17" t="s">
        <v>152</v>
      </c>
      <c r="J435" s="17" t="s">
        <v>165</v>
      </c>
      <c r="K435" s="17" t="s">
        <v>42</v>
      </c>
      <c r="L435" s="17">
        <v>10000064</v>
      </c>
      <c r="M435" s="17" t="s">
        <v>149</v>
      </c>
      <c r="N435" s="17">
        <v>22434981</v>
      </c>
      <c r="O435" s="17" t="s">
        <v>1121</v>
      </c>
      <c r="P435" s="17" t="s">
        <v>192</v>
      </c>
      <c r="Q435" s="17" t="s">
        <v>1064</v>
      </c>
      <c r="R435" s="17" t="s">
        <v>1121</v>
      </c>
      <c r="S435" s="17" t="s">
        <v>147</v>
      </c>
      <c r="T435" s="17" t="s">
        <v>146</v>
      </c>
      <c r="U435" s="17" t="s">
        <v>251</v>
      </c>
      <c r="V435" s="17"/>
      <c r="W435" s="17"/>
    </row>
    <row r="436" spans="1:23" x14ac:dyDescent="0.45">
      <c r="A436" s="17" t="s">
        <v>254</v>
      </c>
      <c r="B436" s="22">
        <v>46073</v>
      </c>
      <c r="C436" s="17">
        <v>151363167</v>
      </c>
      <c r="D436" s="26">
        <f>IFERROR(SUMIF(Servicios_Promotores!$B:$B,C436,Servicios_Promotores!$R:$R),0)</f>
        <v>0</v>
      </c>
      <c r="E436" s="26">
        <f>IFERROR(SUMIF(Pago_GERE!$B:$B,C436,Pago_GERE!$R:$R),0)</f>
        <v>0</v>
      </c>
      <c r="F436" s="26">
        <f>IFERROR(SUMIF(Hoja2!$H:$H,C436,Hoja2!$U:$U),0)</f>
        <v>895</v>
      </c>
      <c r="G436" s="17" t="str">
        <f>IFERROR(VLOOKUP(C436,Hoja3!$C:$D,2,FALSE),"")</f>
        <v>KIARA AQUINO</v>
      </c>
      <c r="H436" s="22">
        <v>46073</v>
      </c>
      <c r="I436" s="17" t="s">
        <v>152</v>
      </c>
      <c r="J436" s="17" t="s">
        <v>151</v>
      </c>
      <c r="K436" s="17" t="s">
        <v>42</v>
      </c>
      <c r="L436" s="17">
        <v>10000064</v>
      </c>
      <c r="M436" s="17" t="s">
        <v>149</v>
      </c>
      <c r="N436" s="17">
        <v>22484293</v>
      </c>
      <c r="O436" s="17" t="s">
        <v>789</v>
      </c>
      <c r="P436" s="17" t="s">
        <v>148</v>
      </c>
      <c r="Q436" s="17" t="s">
        <v>253</v>
      </c>
      <c r="R436" s="17" t="s">
        <v>789</v>
      </c>
      <c r="S436" s="17" t="s">
        <v>147</v>
      </c>
      <c r="T436" s="17" t="s">
        <v>146</v>
      </c>
      <c r="U436" s="17" t="s">
        <v>251</v>
      </c>
      <c r="V436" s="17" t="s">
        <v>362</v>
      </c>
      <c r="W436" s="17" t="s">
        <v>361</v>
      </c>
    </row>
    <row r="437" spans="1:23" x14ac:dyDescent="0.45">
      <c r="A437" s="17" t="s">
        <v>254</v>
      </c>
      <c r="B437" s="22">
        <v>46070</v>
      </c>
      <c r="C437" s="17">
        <v>151358128</v>
      </c>
      <c r="D437" s="26">
        <f>IFERROR(SUMIF(Servicios_Promotores!$B:$B,C437,Servicios_Promotores!$R:$R),0)</f>
        <v>49.999999998</v>
      </c>
      <c r="E437" s="26">
        <f>IFERROR(SUMIF(Pago_GERE!$B:$B,C437,Pago_GERE!$R:$R),0)</f>
        <v>0</v>
      </c>
      <c r="F437" s="26">
        <f>IFERROR(SUMIF(Hoja2!$H:$H,C437,Hoja2!$U:$U),0)</f>
        <v>0</v>
      </c>
      <c r="G437" s="17" t="str">
        <f>IFERROR(VLOOKUP(C437,Hoja3!$C:$D,2,FALSE),"")</f>
        <v>KIARA AQUINO</v>
      </c>
      <c r="H437" s="22">
        <v>46073</v>
      </c>
      <c r="I437" s="17" t="s">
        <v>220</v>
      </c>
      <c r="J437" s="17" t="s">
        <v>151</v>
      </c>
      <c r="K437" s="17" t="s">
        <v>61</v>
      </c>
      <c r="L437" s="17">
        <v>10000064</v>
      </c>
      <c r="M437" s="17" t="s">
        <v>149</v>
      </c>
      <c r="N437" s="17">
        <v>22433781</v>
      </c>
      <c r="O437" s="17" t="s">
        <v>775</v>
      </c>
      <c r="P437" s="17" t="s">
        <v>776</v>
      </c>
      <c r="Q437" s="17" t="s">
        <v>253</v>
      </c>
      <c r="R437" s="17" t="s">
        <v>775</v>
      </c>
      <c r="S437" s="17" t="s">
        <v>155</v>
      </c>
      <c r="T437" s="17" t="s">
        <v>587</v>
      </c>
      <c r="U437" s="17" t="s">
        <v>251</v>
      </c>
      <c r="V437" s="17" t="s">
        <v>774</v>
      </c>
      <c r="W437" s="17" t="s">
        <v>514</v>
      </c>
    </row>
    <row r="438" spans="1:23" x14ac:dyDescent="0.45">
      <c r="A438" s="17" t="s">
        <v>254</v>
      </c>
      <c r="B438" s="22">
        <v>46108</v>
      </c>
      <c r="C438" s="17">
        <v>151428449</v>
      </c>
      <c r="D438" s="26">
        <f>IFERROR(SUMIF(Servicios_Promotores!$B:$B,C438,Servicios_Promotores!$R:$R),0)</f>
        <v>262.99999998999999</v>
      </c>
      <c r="E438" s="26">
        <f>IFERROR(SUMIF(Pago_GERE!$B:$B,C438,Pago_GERE!$R:$R),0)</f>
        <v>187.00000001799998</v>
      </c>
      <c r="F438" s="26">
        <f>IFERROR(SUMIF(Hoja2!$H:$H,C438,Hoja2!$U:$U),0)</f>
        <v>0</v>
      </c>
      <c r="G438" s="17" t="str">
        <f>IFERROR(VLOOKUP(C438,Hoja3!$C:$D,2,FALSE),"")</f>
        <v>KIARA AQUINO</v>
      </c>
      <c r="H438" s="22">
        <v>46109</v>
      </c>
      <c r="I438" s="17" t="s">
        <v>152</v>
      </c>
      <c r="J438" s="17" t="s">
        <v>151</v>
      </c>
      <c r="K438" s="17" t="s">
        <v>36</v>
      </c>
      <c r="L438" s="17">
        <v>10000064</v>
      </c>
      <c r="M438" s="17" t="s">
        <v>149</v>
      </c>
      <c r="N438" s="17">
        <v>23872387</v>
      </c>
      <c r="O438" s="17" t="s">
        <v>669</v>
      </c>
      <c r="P438" s="17" t="s">
        <v>482</v>
      </c>
      <c r="Q438" s="17" t="s">
        <v>253</v>
      </c>
      <c r="R438" s="17" t="s">
        <v>669</v>
      </c>
      <c r="S438" s="17" t="s">
        <v>147</v>
      </c>
      <c r="T438" s="17" t="s">
        <v>480</v>
      </c>
      <c r="U438" s="17" t="s">
        <v>251</v>
      </c>
      <c r="V438" s="17" t="s">
        <v>668</v>
      </c>
      <c r="W438" s="17" t="s">
        <v>623</v>
      </c>
    </row>
    <row r="439" spans="1:23" x14ac:dyDescent="0.45">
      <c r="A439" s="17" t="s">
        <v>254</v>
      </c>
      <c r="B439" s="22">
        <v>46104</v>
      </c>
      <c r="C439" s="17">
        <v>151419967</v>
      </c>
      <c r="D439" s="26">
        <f>IFERROR(SUMIF(Servicios_Promotores!$B:$B,C439,Servicios_Promotores!$R:$R),0)</f>
        <v>334.66500000050002</v>
      </c>
      <c r="E439" s="26">
        <f>IFERROR(SUMIF(Pago_GERE!$B:$B,C439,Pago_GERE!$R:$R),0)</f>
        <v>258.66500002849995</v>
      </c>
      <c r="F439" s="26">
        <f>IFERROR(SUMIF(Hoja2!$H:$H,C439,Hoja2!$U:$U),0)</f>
        <v>0</v>
      </c>
      <c r="G439" s="17" t="str">
        <f>IFERROR(VLOOKUP(C439,Hoja3!$C:$D,2,FALSE),"")</f>
        <v>KIARA AQUINO</v>
      </c>
      <c r="H439" s="22">
        <v>46105</v>
      </c>
      <c r="I439" s="17" t="s">
        <v>163</v>
      </c>
      <c r="J439" s="17" t="s">
        <v>151</v>
      </c>
      <c r="K439" s="17" t="s">
        <v>39</v>
      </c>
      <c r="L439" s="17">
        <v>10000064</v>
      </c>
      <c r="M439" s="17" t="s">
        <v>149</v>
      </c>
      <c r="N439" s="17">
        <v>23788939</v>
      </c>
      <c r="O439" s="17" t="s">
        <v>664</v>
      </c>
      <c r="P439" s="17" t="s">
        <v>170</v>
      </c>
      <c r="Q439" s="17" t="s">
        <v>253</v>
      </c>
      <c r="R439" s="17" t="s">
        <v>664</v>
      </c>
      <c r="S439" s="17" t="s">
        <v>147</v>
      </c>
      <c r="T439" s="17" t="s">
        <v>169</v>
      </c>
      <c r="U439" s="17" t="s">
        <v>251</v>
      </c>
      <c r="V439" s="17" t="s">
        <v>663</v>
      </c>
      <c r="W439" s="17" t="s">
        <v>660</v>
      </c>
    </row>
    <row r="440" spans="1:23" x14ac:dyDescent="0.45">
      <c r="A440" s="17" t="s">
        <v>254</v>
      </c>
      <c r="B440" s="22">
        <v>46104</v>
      </c>
      <c r="C440" s="17">
        <v>151419851</v>
      </c>
      <c r="D440" s="26">
        <f>IFERROR(SUMIF(Servicios_Promotores!$B:$B,C440,Servicios_Promotores!$R:$R),0)</f>
        <v>262.99999998999999</v>
      </c>
      <c r="E440" s="26">
        <f>IFERROR(SUMIF(Pago_GERE!$B:$B,C440,Pago_GERE!$R:$R),0)</f>
        <v>187.00000001799998</v>
      </c>
      <c r="F440" s="26">
        <f>IFERROR(SUMIF(Hoja2!$H:$H,C440,Hoja2!$U:$U),0)</f>
        <v>0</v>
      </c>
      <c r="G440" s="17" t="str">
        <f>IFERROR(VLOOKUP(C440,Hoja3!$C:$D,2,FALSE),"")</f>
        <v>KIARA AQUINO</v>
      </c>
      <c r="H440" s="22">
        <v>46105</v>
      </c>
      <c r="I440" s="17" t="s">
        <v>163</v>
      </c>
      <c r="J440" s="17" t="s">
        <v>151</v>
      </c>
      <c r="K440" s="17" t="s">
        <v>39</v>
      </c>
      <c r="L440" s="17">
        <v>10000064</v>
      </c>
      <c r="M440" s="17" t="s">
        <v>149</v>
      </c>
      <c r="N440" s="17">
        <v>23788517</v>
      </c>
      <c r="O440" s="17" t="s">
        <v>662</v>
      </c>
      <c r="P440" s="17" t="s">
        <v>170</v>
      </c>
      <c r="Q440" s="17" t="s">
        <v>253</v>
      </c>
      <c r="R440" s="17" t="s">
        <v>662</v>
      </c>
      <c r="S440" s="17" t="s">
        <v>147</v>
      </c>
      <c r="T440" s="17" t="s">
        <v>169</v>
      </c>
      <c r="U440" s="17" t="s">
        <v>251</v>
      </c>
      <c r="V440" s="17" t="s">
        <v>661</v>
      </c>
      <c r="W440" s="17" t="s">
        <v>660</v>
      </c>
    </row>
    <row r="441" spans="1:23" x14ac:dyDescent="0.45">
      <c r="A441" s="17" t="s">
        <v>254</v>
      </c>
      <c r="B441" s="22">
        <v>46099</v>
      </c>
      <c r="C441" s="17">
        <v>151409781</v>
      </c>
      <c r="D441" s="26">
        <f>IFERROR(SUMIF(Servicios_Promotores!$B:$B,C441,Servicios_Promotores!$R:$R),0)</f>
        <v>84.665000010499995</v>
      </c>
      <c r="E441" s="26">
        <f>IFERROR(SUMIF(Pago_GERE!$B:$B,C441,Pago_GERE!$R:$R),0)</f>
        <v>108.66500000849999</v>
      </c>
      <c r="F441" s="26">
        <f>IFERROR(SUMIF(Hoja2!$H:$H,C441,Hoja2!$U:$U),0)</f>
        <v>0</v>
      </c>
      <c r="G441" s="17" t="str">
        <f>IFERROR(VLOOKUP(C441,Hoja3!$C:$D,2,FALSE),"")</f>
        <v>KIARA AQUINO</v>
      </c>
      <c r="H441" s="22">
        <v>46101</v>
      </c>
      <c r="I441" s="17" t="s">
        <v>163</v>
      </c>
      <c r="J441" s="17" t="s">
        <v>151</v>
      </c>
      <c r="K441" s="17" t="s">
        <v>42</v>
      </c>
      <c r="L441" s="17">
        <v>10000064</v>
      </c>
      <c r="M441" s="17" t="s">
        <v>149</v>
      </c>
      <c r="N441" s="17">
        <v>23336253</v>
      </c>
      <c r="O441" s="17" t="s">
        <v>645</v>
      </c>
      <c r="P441" s="17" t="s">
        <v>192</v>
      </c>
      <c r="Q441" s="17" t="s">
        <v>253</v>
      </c>
      <c r="R441" s="17" t="s">
        <v>645</v>
      </c>
      <c r="S441" s="17" t="s">
        <v>147</v>
      </c>
      <c r="T441" s="17" t="s">
        <v>146</v>
      </c>
      <c r="U441" s="17" t="s">
        <v>251</v>
      </c>
      <c r="V441" s="17" t="s">
        <v>644</v>
      </c>
      <c r="W441" s="17" t="s">
        <v>643</v>
      </c>
    </row>
    <row r="442" spans="1:23" x14ac:dyDescent="0.45">
      <c r="A442" s="17" t="s">
        <v>254</v>
      </c>
      <c r="B442" s="22">
        <v>46091</v>
      </c>
      <c r="C442" s="17">
        <v>151397079</v>
      </c>
      <c r="D442" s="26">
        <f>IFERROR(SUMIF(Servicios_Promotores!$B:$B,C442,Servicios_Promotores!$R:$R),0)</f>
        <v>0</v>
      </c>
      <c r="E442" s="26">
        <f>IFERROR(SUMIF(Pago_GERE!$B:$B,C442,Pago_GERE!$R:$R),0)</f>
        <v>0</v>
      </c>
      <c r="F442" s="26">
        <f>IFERROR(SUMIF(Hoja2!$H:$H,C442,Hoja2!$U:$U),0)</f>
        <v>449</v>
      </c>
      <c r="G442" s="17" t="str">
        <f>IFERROR(VLOOKUP(C442,Hoja3!$C:$D,2,FALSE),"")</f>
        <v>KIARA AQUINO</v>
      </c>
      <c r="H442" s="22">
        <v>46094</v>
      </c>
      <c r="I442" s="17" t="s">
        <v>163</v>
      </c>
      <c r="J442" s="17" t="s">
        <v>151</v>
      </c>
      <c r="K442" s="17" t="s">
        <v>42</v>
      </c>
      <c r="L442" s="17">
        <v>10000064</v>
      </c>
      <c r="M442" s="17" t="s">
        <v>149</v>
      </c>
      <c r="N442" s="17">
        <v>22930703</v>
      </c>
      <c r="O442" s="17" t="s">
        <v>599</v>
      </c>
      <c r="P442" s="17" t="s">
        <v>148</v>
      </c>
      <c r="Q442" s="17" t="s">
        <v>253</v>
      </c>
      <c r="R442" s="17" t="s">
        <v>599</v>
      </c>
      <c r="S442" s="17" t="s">
        <v>147</v>
      </c>
      <c r="T442" s="17" t="s">
        <v>146</v>
      </c>
      <c r="U442" s="17" t="s">
        <v>251</v>
      </c>
      <c r="V442" s="17" t="s">
        <v>492</v>
      </c>
      <c r="W442" s="17" t="s">
        <v>321</v>
      </c>
    </row>
    <row r="443" spans="1:23" x14ac:dyDescent="0.45">
      <c r="A443" s="17" t="s">
        <v>254</v>
      </c>
      <c r="B443" s="22">
        <v>46090</v>
      </c>
      <c r="C443" s="17">
        <v>151394823</v>
      </c>
      <c r="D443" s="26">
        <f>IFERROR(SUMIF(Servicios_Promotores!$B:$B,C443,Servicios_Promotores!$R:$R),0)</f>
        <v>13</v>
      </c>
      <c r="E443" s="26">
        <f>IFERROR(SUMIF(Pago_GERE!$B:$B,C443,Pago_GERE!$R:$R),0)</f>
        <v>36.999999998</v>
      </c>
      <c r="F443" s="26">
        <f>IFERROR(SUMIF(Hoja2!$H:$H,C443,Hoja2!$U:$U),0)</f>
        <v>735</v>
      </c>
      <c r="G443" s="17" t="str">
        <f>IFERROR(VLOOKUP(C443,Hoja3!$C:$D,2,FALSE),"")</f>
        <v>KIARA AQUINO</v>
      </c>
      <c r="H443" s="22">
        <v>46099</v>
      </c>
      <c r="I443" s="17" t="s">
        <v>152</v>
      </c>
      <c r="J443" s="17" t="s">
        <v>165</v>
      </c>
      <c r="K443" s="17" t="s">
        <v>42</v>
      </c>
      <c r="L443" s="17">
        <v>10000064</v>
      </c>
      <c r="M443" s="17" t="s">
        <v>149</v>
      </c>
      <c r="N443" s="17">
        <v>23350105</v>
      </c>
      <c r="O443" s="17" t="s">
        <v>595</v>
      </c>
      <c r="P443" s="17" t="s">
        <v>148</v>
      </c>
      <c r="Q443" s="17" t="s">
        <v>253</v>
      </c>
      <c r="R443" s="17" t="s">
        <v>595</v>
      </c>
      <c r="S443" s="17" t="s">
        <v>147</v>
      </c>
      <c r="T443" s="17" t="s">
        <v>146</v>
      </c>
      <c r="U443" s="17" t="s">
        <v>251</v>
      </c>
      <c r="V443" s="17" t="s">
        <v>594</v>
      </c>
      <c r="W443" s="17" t="s">
        <v>593</v>
      </c>
    </row>
    <row r="444" spans="1:23" x14ac:dyDescent="0.45">
      <c r="A444" s="17" t="s">
        <v>254</v>
      </c>
      <c r="B444" s="22">
        <v>46137</v>
      </c>
      <c r="C444" s="17">
        <v>151477273</v>
      </c>
      <c r="D444" s="26">
        <f>IFERROR(SUMIF(Servicios_Promotores!$B:$B,C444,Servicios_Promotores!$R:$R),0)</f>
        <v>262.99999998999999</v>
      </c>
      <c r="E444" s="26">
        <f>IFERROR(SUMIF(Pago_GERE!$B:$B,C444,Pago_GERE!$R:$R),0)</f>
        <v>187.00000001799998</v>
      </c>
      <c r="F444" s="26">
        <f>IFERROR(SUMIF(Hoja2!$H:$H,C444,Hoja2!$U:$U),0)</f>
        <v>0</v>
      </c>
      <c r="G444" s="17" t="str">
        <f>IFERROR(VLOOKUP(C444,Hoja3!$C:$D,2,FALSE),"")</f>
        <v>KIARA AQUINO</v>
      </c>
      <c r="H444" s="22">
        <v>46142</v>
      </c>
      <c r="I444" s="17" t="s">
        <v>152</v>
      </c>
      <c r="J444" s="17" t="s">
        <v>151</v>
      </c>
      <c r="K444" s="17" t="s">
        <v>31</v>
      </c>
      <c r="L444" s="17">
        <v>10000064</v>
      </c>
      <c r="M444" s="17" t="s">
        <v>149</v>
      </c>
      <c r="N444" s="17">
        <v>24597686</v>
      </c>
      <c r="O444" s="17" t="s">
        <v>506</v>
      </c>
      <c r="P444" s="17" t="s">
        <v>179</v>
      </c>
      <c r="Q444" s="17" t="s">
        <v>253</v>
      </c>
      <c r="R444" s="17" t="s">
        <v>506</v>
      </c>
      <c r="S444" s="17" t="s">
        <v>147</v>
      </c>
      <c r="T444" s="17" t="s">
        <v>178</v>
      </c>
      <c r="U444" s="17" t="s">
        <v>251</v>
      </c>
      <c r="V444" s="17" t="s">
        <v>505</v>
      </c>
      <c r="W444" s="17" t="s">
        <v>175</v>
      </c>
    </row>
    <row r="445" spans="1:23" x14ac:dyDescent="0.45">
      <c r="A445" s="17" t="s">
        <v>254</v>
      </c>
      <c r="B445" s="22">
        <v>46127</v>
      </c>
      <c r="C445" s="17">
        <v>151460687</v>
      </c>
      <c r="D445" s="26">
        <f>IFERROR(SUMIF(Servicios_Promotores!$B:$B,C445,Servicios_Promotores!$R:$R),0)</f>
        <v>317.99999999950001</v>
      </c>
      <c r="E445" s="26">
        <f>IFERROR(SUMIF(Pago_GERE!$B:$B,C445,Pago_GERE!$R:$R),0)</f>
        <v>272.00000003149995</v>
      </c>
      <c r="F445" s="26">
        <f>IFERROR(SUMIF(Hoja2!$H:$H,C445,Hoja2!$U:$U),0)</f>
        <v>0</v>
      </c>
      <c r="G445" s="17" t="str">
        <f>IFERROR(VLOOKUP(C445,Hoja3!$C:$D,2,FALSE),"")</f>
        <v>KIARA AQUINO</v>
      </c>
      <c r="H445" s="22">
        <v>46128</v>
      </c>
      <c r="I445" s="17" t="s">
        <v>163</v>
      </c>
      <c r="J445" s="17" t="s">
        <v>151</v>
      </c>
      <c r="K445" s="17" t="s">
        <v>31</v>
      </c>
      <c r="L445" s="17">
        <v>10000064</v>
      </c>
      <c r="M445" s="17" t="s">
        <v>149</v>
      </c>
      <c r="N445" s="17">
        <v>24298269</v>
      </c>
      <c r="O445" s="17" t="s">
        <v>458</v>
      </c>
      <c r="P445" s="17" t="s">
        <v>179</v>
      </c>
      <c r="Q445" s="17" t="s">
        <v>253</v>
      </c>
      <c r="R445" s="17" t="s">
        <v>458</v>
      </c>
      <c r="S445" s="17" t="s">
        <v>147</v>
      </c>
      <c r="T445" s="17" t="s">
        <v>178</v>
      </c>
      <c r="U445" s="17" t="s">
        <v>251</v>
      </c>
      <c r="V445" s="17" t="s">
        <v>457</v>
      </c>
      <c r="W445" s="17" t="s">
        <v>447</v>
      </c>
    </row>
    <row r="446" spans="1:23" x14ac:dyDescent="0.45">
      <c r="A446" s="17" t="s">
        <v>254</v>
      </c>
      <c r="B446" s="22">
        <v>46122</v>
      </c>
      <c r="C446" s="17">
        <v>151451995</v>
      </c>
      <c r="D446" s="26">
        <f>IFERROR(SUMIF(Servicios_Promotores!$B:$B,C446,Servicios_Promotores!$R:$R),0)</f>
        <v>249.99999998999999</v>
      </c>
      <c r="E446" s="26">
        <f>IFERROR(SUMIF(Pago_GERE!$B:$B,C446,Pago_GERE!$R:$R),0)</f>
        <v>150.00000001999999</v>
      </c>
      <c r="F446" s="26">
        <f>IFERROR(SUMIF(Hoja2!$H:$H,C446,Hoja2!$U:$U),0)</f>
        <v>0</v>
      </c>
      <c r="G446" s="17" t="str">
        <f>IFERROR(VLOOKUP(C446,Hoja3!$C:$D,2,FALSE),"")</f>
        <v>KIARA AQUINO</v>
      </c>
      <c r="H446" s="22">
        <v>46144</v>
      </c>
      <c r="I446" s="17" t="s">
        <v>163</v>
      </c>
      <c r="J446" s="17" t="s">
        <v>151</v>
      </c>
      <c r="K446" s="17" t="s">
        <v>101</v>
      </c>
      <c r="L446" s="17">
        <v>10000064</v>
      </c>
      <c r="M446" s="17" t="s">
        <v>149</v>
      </c>
      <c r="N446" s="17">
        <v>24171749</v>
      </c>
      <c r="O446" s="17" t="s">
        <v>443</v>
      </c>
      <c r="P446" s="17" t="s">
        <v>156</v>
      </c>
      <c r="Q446" s="17" t="s">
        <v>253</v>
      </c>
      <c r="R446" s="17" t="s">
        <v>443</v>
      </c>
      <c r="S446" s="17" t="s">
        <v>147</v>
      </c>
      <c r="T446" s="17" t="s">
        <v>154</v>
      </c>
      <c r="U446" s="17" t="s">
        <v>251</v>
      </c>
      <c r="V446" s="17" t="s">
        <v>442</v>
      </c>
      <c r="W446" s="17" t="s">
        <v>441</v>
      </c>
    </row>
    <row r="447" spans="1:23" x14ac:dyDescent="0.45">
      <c r="A447" s="17" t="s">
        <v>254</v>
      </c>
      <c r="B447" s="22">
        <v>46118</v>
      </c>
      <c r="C447" s="17">
        <v>151443794</v>
      </c>
      <c r="D447" s="26">
        <f>IFERROR(SUMIF(Servicios_Promotores!$B:$B,C447,Servicios_Promotores!$R:$R),0)</f>
        <v>262.99999998999999</v>
      </c>
      <c r="E447" s="26">
        <f>IFERROR(SUMIF(Pago_GERE!$B:$B,C447,Pago_GERE!$R:$R),0)</f>
        <v>187.00000001799998</v>
      </c>
      <c r="F447" s="26">
        <f>IFERROR(SUMIF(Hoja2!$H:$H,C447,Hoja2!$U:$U),0)</f>
        <v>0</v>
      </c>
      <c r="G447" s="17" t="str">
        <f>IFERROR(VLOOKUP(C447,Hoja3!$C:$D,2,FALSE),"")</f>
        <v>KIARA AQUINO</v>
      </c>
      <c r="H447" s="22">
        <v>46121</v>
      </c>
      <c r="I447" s="17" t="s">
        <v>163</v>
      </c>
      <c r="J447" s="17" t="s">
        <v>151</v>
      </c>
      <c r="K447" s="17" t="s">
        <v>31</v>
      </c>
      <c r="L447" s="17">
        <v>10000064</v>
      </c>
      <c r="M447" s="17" t="s">
        <v>149</v>
      </c>
      <c r="N447" s="17">
        <v>24066388</v>
      </c>
      <c r="O447" s="17" t="s">
        <v>431</v>
      </c>
      <c r="P447" s="17" t="s">
        <v>179</v>
      </c>
      <c r="Q447" s="17" t="s">
        <v>253</v>
      </c>
      <c r="R447" s="17" t="s">
        <v>431</v>
      </c>
      <c r="S447" s="17" t="s">
        <v>147</v>
      </c>
      <c r="T447" s="17" t="s">
        <v>178</v>
      </c>
      <c r="U447" s="17" t="s">
        <v>251</v>
      </c>
      <c r="V447" s="17" t="s">
        <v>430</v>
      </c>
      <c r="W447" s="17" t="s">
        <v>424</v>
      </c>
    </row>
    <row r="448" spans="1:23" x14ac:dyDescent="0.45">
      <c r="A448" s="17" t="s">
        <v>254</v>
      </c>
      <c r="B448" s="22">
        <v>46114</v>
      </c>
      <c r="C448" s="17">
        <v>151437578</v>
      </c>
      <c r="D448" s="26">
        <f>IFERROR(SUMIF(Servicios_Promotores!$B:$B,C448,Servicios_Promotores!$R:$R),0)</f>
        <v>262.99999998999999</v>
      </c>
      <c r="E448" s="26">
        <f>IFERROR(SUMIF(Pago_GERE!$B:$B,C448,Pago_GERE!$R:$R),0)</f>
        <v>187.00000001799998</v>
      </c>
      <c r="F448" s="26">
        <f>IFERROR(SUMIF(Hoja2!$H:$H,C448,Hoja2!$U:$U),0)</f>
        <v>1346</v>
      </c>
      <c r="G448" s="17" t="str">
        <f>IFERROR(VLOOKUP(C448,Hoja3!$C:$D,2,FALSE),"")</f>
        <v>KIARA AQUINO</v>
      </c>
      <c r="H448" s="22">
        <v>46118</v>
      </c>
      <c r="I448" s="17" t="s">
        <v>152</v>
      </c>
      <c r="J448" s="17" t="s">
        <v>151</v>
      </c>
      <c r="K448" s="17" t="s">
        <v>42</v>
      </c>
      <c r="L448" s="17">
        <v>10000064</v>
      </c>
      <c r="M448" s="17" t="s">
        <v>149</v>
      </c>
      <c r="N448" s="17">
        <v>24022053</v>
      </c>
      <c r="O448" s="17" t="s">
        <v>408</v>
      </c>
      <c r="P448" s="17" t="s">
        <v>148</v>
      </c>
      <c r="Q448" s="17" t="s">
        <v>253</v>
      </c>
      <c r="R448" s="17" t="s">
        <v>408</v>
      </c>
      <c r="S448" s="17" t="s">
        <v>147</v>
      </c>
      <c r="T448" s="17" t="s">
        <v>146</v>
      </c>
      <c r="U448" s="17" t="s">
        <v>251</v>
      </c>
      <c r="V448" s="17" t="s">
        <v>407</v>
      </c>
      <c r="W448" s="17" t="s">
        <v>315</v>
      </c>
    </row>
    <row r="449" spans="1:23" x14ac:dyDescent="0.45">
      <c r="A449" s="17" t="s">
        <v>254</v>
      </c>
      <c r="B449" s="22">
        <v>46155</v>
      </c>
      <c r="C449" s="17">
        <v>151504026</v>
      </c>
      <c r="D449" s="26">
        <f>IFERROR(SUMIF(Servicios_Promotores!$B:$B,C449,Servicios_Promotores!$R:$R),0)</f>
        <v>0</v>
      </c>
      <c r="E449" s="26">
        <f>IFERROR(SUMIF(Pago_GERE!$B:$B,C449,Pago_GERE!$R:$R),0)</f>
        <v>0</v>
      </c>
      <c r="F449" s="26">
        <f>IFERROR(SUMIF(Hoja2!$H:$H,C449,Hoja2!$U:$U),0)</f>
        <v>0</v>
      </c>
      <c r="G449" s="17" t="str">
        <f>IFERROR(VLOOKUP(C449,Hoja3!$C:$D,2,FALSE),"")</f>
        <v>KIARA AQUINO</v>
      </c>
      <c r="H449" s="22">
        <v>46155</v>
      </c>
      <c r="I449" s="17" t="s">
        <v>163</v>
      </c>
      <c r="J449" s="17" t="s">
        <v>151</v>
      </c>
      <c r="K449" s="17" t="s">
        <v>42</v>
      </c>
      <c r="L449" s="17">
        <v>10000064</v>
      </c>
      <c r="M449" s="17" t="s">
        <v>149</v>
      </c>
      <c r="N449" s="17">
        <v>25072994</v>
      </c>
      <c r="O449" s="17" t="s">
        <v>382</v>
      </c>
      <c r="P449" s="17" t="s">
        <v>148</v>
      </c>
      <c r="Q449" s="17" t="s">
        <v>253</v>
      </c>
      <c r="R449" s="17" t="s">
        <v>382</v>
      </c>
      <c r="S449" s="17" t="s">
        <v>147</v>
      </c>
      <c r="T449" s="17" t="s">
        <v>146</v>
      </c>
      <c r="U449" s="17" t="s">
        <v>251</v>
      </c>
      <c r="V449" s="17" t="s">
        <v>381</v>
      </c>
      <c r="W449" s="17" t="s">
        <v>324</v>
      </c>
    </row>
    <row r="450" spans="1:23" x14ac:dyDescent="0.45">
      <c r="A450" s="17" t="s">
        <v>254</v>
      </c>
      <c r="B450" s="22">
        <v>46157</v>
      </c>
      <c r="C450" s="17">
        <v>151509589</v>
      </c>
      <c r="D450" s="26">
        <f>IFERROR(SUMIF(Servicios_Promotores!$B:$B,C450,Servicios_Promotores!$R:$R),0)</f>
        <v>262.99999998999999</v>
      </c>
      <c r="E450" s="26">
        <f>IFERROR(SUMIF(Pago_GERE!$B:$B,C450,Pago_GERE!$R:$R),0)</f>
        <v>187.000000005</v>
      </c>
      <c r="F450" s="26">
        <f>IFERROR(SUMIF(Hoja2!$H:$H,C450,Hoja2!$U:$U),0)</f>
        <v>0</v>
      </c>
      <c r="G450" s="17" t="str">
        <f>IFERROR(VLOOKUP(C450,Hoja3!$C:$D,2,FALSE),"")</f>
        <v>KIARA AQUINO</v>
      </c>
      <c r="H450" s="22">
        <v>46159</v>
      </c>
      <c r="I450" s="17" t="s">
        <v>163</v>
      </c>
      <c r="J450" s="17" t="s">
        <v>151</v>
      </c>
      <c r="K450" s="17" t="s">
        <v>42</v>
      </c>
      <c r="L450" s="17">
        <v>10000064</v>
      </c>
      <c r="M450" s="17" t="s">
        <v>149</v>
      </c>
      <c r="N450" s="17">
        <v>25152492</v>
      </c>
      <c r="O450" s="17" t="s">
        <v>369</v>
      </c>
      <c r="P450" s="17" t="s">
        <v>148</v>
      </c>
      <c r="Q450" s="17" t="s">
        <v>253</v>
      </c>
      <c r="R450" s="17" t="s">
        <v>369</v>
      </c>
      <c r="S450" s="17" t="s">
        <v>147</v>
      </c>
      <c r="T450" s="17" t="s">
        <v>146</v>
      </c>
      <c r="U450" s="17" t="s">
        <v>251</v>
      </c>
      <c r="V450" s="17" t="s">
        <v>368</v>
      </c>
      <c r="W450" s="17" t="s">
        <v>341</v>
      </c>
    </row>
    <row r="451" spans="1:23" x14ac:dyDescent="0.45">
      <c r="A451" s="17" t="s">
        <v>254</v>
      </c>
      <c r="B451" s="22">
        <v>46153</v>
      </c>
      <c r="C451" s="17">
        <v>151499972</v>
      </c>
      <c r="D451" s="26">
        <f>IFERROR(SUMIF(Servicios_Promotores!$B:$B,C451,Servicios_Promotores!$R:$R),0)</f>
        <v>262.99999998999999</v>
      </c>
      <c r="E451" s="26">
        <f>IFERROR(SUMIF(Pago_GERE!$B:$B,C451,Pago_GERE!$R:$R),0)</f>
        <v>187.000000005</v>
      </c>
      <c r="F451" s="26">
        <f>IFERROR(SUMIF(Hoja2!$H:$H,C451,Hoja2!$U:$U),0)</f>
        <v>0</v>
      </c>
      <c r="G451" s="17" t="str">
        <f>IFERROR(VLOOKUP(C451,Hoja3!$C:$D,2,FALSE),"")</f>
        <v>KIARA AQUINO</v>
      </c>
      <c r="H451" s="22">
        <v>46158</v>
      </c>
      <c r="I451" s="17" t="s">
        <v>152</v>
      </c>
      <c r="J451" s="17" t="s">
        <v>165</v>
      </c>
      <c r="K451" s="17" t="s">
        <v>45</v>
      </c>
      <c r="L451" s="17">
        <v>10000064</v>
      </c>
      <c r="M451" s="17" t="s">
        <v>149</v>
      </c>
      <c r="N451" s="17">
        <v>25028260</v>
      </c>
      <c r="O451" s="17" t="s">
        <v>308</v>
      </c>
      <c r="P451" s="17" t="s">
        <v>309</v>
      </c>
      <c r="Q451" s="17" t="s">
        <v>253</v>
      </c>
      <c r="R451" s="17" t="s">
        <v>308</v>
      </c>
      <c r="S451" s="17" t="s">
        <v>147</v>
      </c>
      <c r="T451" s="17" t="s">
        <v>307</v>
      </c>
      <c r="U451" s="17" t="s">
        <v>251</v>
      </c>
      <c r="V451" s="17" t="s">
        <v>306</v>
      </c>
      <c r="W451" s="17" t="s">
        <v>305</v>
      </c>
    </row>
    <row r="452" spans="1:23" x14ac:dyDescent="0.45">
      <c r="A452" s="17" t="s">
        <v>254</v>
      </c>
      <c r="B452" s="22">
        <v>46148</v>
      </c>
      <c r="C452" s="17">
        <v>151492967</v>
      </c>
      <c r="D452" s="26">
        <f>IFERROR(SUMIF(Servicios_Promotores!$B:$B,C452,Servicios_Promotores!$R:$R),0)</f>
        <v>262.99999998999999</v>
      </c>
      <c r="E452" s="26">
        <f>IFERROR(SUMIF(Pago_GERE!$B:$B,C452,Pago_GERE!$R:$R),0)</f>
        <v>187.000000005</v>
      </c>
      <c r="F452" s="26">
        <f>IFERROR(SUMIF(Hoja2!$H:$H,C452,Hoja2!$U:$U),0)</f>
        <v>0</v>
      </c>
      <c r="G452" s="17" t="str">
        <f>IFERROR(VLOOKUP(C452,Hoja3!$C:$D,2,FALSE),"")</f>
        <v>KIARA AQUINO</v>
      </c>
      <c r="H452" s="22">
        <v>46153</v>
      </c>
      <c r="I452" s="17" t="s">
        <v>152</v>
      </c>
      <c r="J452" s="17" t="s">
        <v>151</v>
      </c>
      <c r="K452" s="17" t="s">
        <v>42</v>
      </c>
      <c r="L452" s="17">
        <v>10000064</v>
      </c>
      <c r="M452" s="17" t="s">
        <v>149</v>
      </c>
      <c r="N452" s="17">
        <v>24829026</v>
      </c>
      <c r="O452" s="17" t="s">
        <v>285</v>
      </c>
      <c r="P452" s="17" t="s">
        <v>148</v>
      </c>
      <c r="Q452" s="17" t="s">
        <v>253</v>
      </c>
      <c r="R452" s="17" t="s">
        <v>285</v>
      </c>
      <c r="S452" s="17" t="s">
        <v>147</v>
      </c>
      <c r="T452" s="17" t="s">
        <v>146</v>
      </c>
      <c r="U452" s="17" t="s">
        <v>251</v>
      </c>
      <c r="V452" s="17" t="s">
        <v>271</v>
      </c>
      <c r="W452" s="17" t="s">
        <v>270</v>
      </c>
    </row>
    <row r="453" spans="1:23" x14ac:dyDescent="0.45">
      <c r="A453" s="17" t="s">
        <v>254</v>
      </c>
      <c r="B453" s="22">
        <v>46148</v>
      </c>
      <c r="C453" s="17">
        <v>151494294</v>
      </c>
      <c r="D453" s="26">
        <f>IFERROR(SUMIF(Servicios_Promotores!$B:$B,C453,Servicios_Promotores!$R:$R),0)</f>
        <v>262.99999998999999</v>
      </c>
      <c r="E453" s="26">
        <f>IFERROR(SUMIF(Pago_GERE!$B:$B,C453,Pago_GERE!$R:$R),0)</f>
        <v>187.000000005</v>
      </c>
      <c r="F453" s="26">
        <f>IFERROR(SUMIF(Hoja2!$H:$H,C453,Hoja2!$U:$U),0)</f>
        <v>0</v>
      </c>
      <c r="G453" s="17" t="str">
        <f>IFERROR(VLOOKUP(C453,Hoja3!$C:$D,2,FALSE),"")</f>
        <v>KIARA AQUINO</v>
      </c>
      <c r="H453" s="22">
        <v>46149</v>
      </c>
      <c r="I453" s="17" t="s">
        <v>152</v>
      </c>
      <c r="J453" s="17" t="s">
        <v>151</v>
      </c>
      <c r="K453" s="17" t="s">
        <v>42</v>
      </c>
      <c r="L453" s="17">
        <v>10000064</v>
      </c>
      <c r="M453" s="17" t="s">
        <v>149</v>
      </c>
      <c r="N453" s="17">
        <v>24850674</v>
      </c>
      <c r="O453" s="17" t="s">
        <v>278</v>
      </c>
      <c r="P453" s="17" t="s">
        <v>148</v>
      </c>
      <c r="Q453" s="17" t="s">
        <v>253</v>
      </c>
      <c r="R453" s="17" t="s">
        <v>278</v>
      </c>
      <c r="S453" s="17" t="s">
        <v>147</v>
      </c>
      <c r="T453" s="17" t="s">
        <v>146</v>
      </c>
      <c r="U453" s="17" t="s">
        <v>251</v>
      </c>
      <c r="V453" s="17" t="s">
        <v>271</v>
      </c>
      <c r="W453" s="17" t="s">
        <v>270</v>
      </c>
    </row>
    <row r="454" spans="1:23" x14ac:dyDescent="0.45">
      <c r="A454" s="17" t="s">
        <v>254</v>
      </c>
      <c r="B454" s="22">
        <v>46147</v>
      </c>
      <c r="C454" s="17">
        <v>151492481</v>
      </c>
      <c r="D454" s="26">
        <f>IFERROR(SUMIF(Servicios_Promotores!$B:$B,C454,Servicios_Promotores!$R:$R),0)</f>
        <v>262.99999998999999</v>
      </c>
      <c r="E454" s="26">
        <f>IFERROR(SUMIF(Pago_GERE!$B:$B,C454,Pago_GERE!$R:$R),0)</f>
        <v>187.000000005</v>
      </c>
      <c r="F454" s="26">
        <f>IFERROR(SUMIF(Hoja2!$H:$H,C454,Hoja2!$U:$U),0)</f>
        <v>0</v>
      </c>
      <c r="G454" s="17" t="str">
        <f>IFERROR(VLOOKUP(C454,Hoja3!$C:$D,2,FALSE),"")</f>
        <v>KIARA AQUINO</v>
      </c>
      <c r="H454" s="22">
        <v>46149</v>
      </c>
      <c r="I454" s="17" t="s">
        <v>152</v>
      </c>
      <c r="J454" s="17" t="s">
        <v>151</v>
      </c>
      <c r="K454" s="17" t="s">
        <v>42</v>
      </c>
      <c r="L454" s="17">
        <v>10000064</v>
      </c>
      <c r="M454" s="17" t="s">
        <v>149</v>
      </c>
      <c r="N454" s="17">
        <v>24828093</v>
      </c>
      <c r="O454" s="17" t="s">
        <v>274</v>
      </c>
      <c r="P454" s="17" t="s">
        <v>148</v>
      </c>
      <c r="Q454" s="17" t="s">
        <v>253</v>
      </c>
      <c r="R454" s="17" t="s">
        <v>274</v>
      </c>
      <c r="S454" s="17" t="s">
        <v>147</v>
      </c>
      <c r="T454" s="17" t="s">
        <v>146</v>
      </c>
      <c r="U454" s="17" t="s">
        <v>251</v>
      </c>
      <c r="V454" s="17" t="s">
        <v>273</v>
      </c>
      <c r="W454" s="17" t="s">
        <v>270</v>
      </c>
    </row>
    <row r="455" spans="1:23" x14ac:dyDescent="0.45">
      <c r="A455" s="17" t="s">
        <v>254</v>
      </c>
      <c r="B455" s="22">
        <v>46147</v>
      </c>
      <c r="C455" s="17">
        <v>151492357</v>
      </c>
      <c r="D455" s="26">
        <f>IFERROR(SUMIF(Servicios_Promotores!$B:$B,C455,Servicios_Promotores!$R:$R),0)</f>
        <v>262.99999998999999</v>
      </c>
      <c r="E455" s="26">
        <f>IFERROR(SUMIF(Pago_GERE!$B:$B,C455,Pago_GERE!$R:$R),0)</f>
        <v>187.000000005</v>
      </c>
      <c r="F455" s="26">
        <f>IFERROR(SUMIF(Hoja2!$H:$H,C455,Hoja2!$U:$U),0)</f>
        <v>0</v>
      </c>
      <c r="G455" s="17" t="str">
        <f>IFERROR(VLOOKUP(C455,Hoja3!$C:$D,2,FALSE),"")</f>
        <v>KIARA AQUINO</v>
      </c>
      <c r="H455" s="22">
        <v>46149</v>
      </c>
      <c r="I455" s="17" t="s">
        <v>152</v>
      </c>
      <c r="J455" s="17" t="s">
        <v>151</v>
      </c>
      <c r="K455" s="17" t="s">
        <v>42</v>
      </c>
      <c r="L455" s="17">
        <v>10000064</v>
      </c>
      <c r="M455" s="17" t="s">
        <v>149</v>
      </c>
      <c r="N455" s="17">
        <v>24828526</v>
      </c>
      <c r="O455" s="17" t="s">
        <v>272</v>
      </c>
      <c r="P455" s="17" t="s">
        <v>148</v>
      </c>
      <c r="Q455" s="17" t="s">
        <v>253</v>
      </c>
      <c r="R455" s="17" t="s">
        <v>272</v>
      </c>
      <c r="S455" s="17" t="s">
        <v>147</v>
      </c>
      <c r="T455" s="17" t="s">
        <v>146</v>
      </c>
      <c r="U455" s="17" t="s">
        <v>251</v>
      </c>
      <c r="V455" s="17" t="s">
        <v>271</v>
      </c>
      <c r="W455" s="17" t="s">
        <v>270</v>
      </c>
    </row>
    <row r="456" spans="1:23" x14ac:dyDescent="0.45">
      <c r="A456" s="17"/>
      <c r="B456" s="22">
        <v>46073</v>
      </c>
      <c r="C456" s="17">
        <v>151363136</v>
      </c>
      <c r="D456" s="26">
        <f>IFERROR(SUMIF(Servicios_Promotores!$B:$B,C456,Servicios_Promotores!$R:$R),0)</f>
        <v>0</v>
      </c>
      <c r="E456" s="26">
        <f>IFERROR(SUMIF(Pago_GERE!$B:$B,C456,Pago_GERE!$R:$R),0)</f>
        <v>0</v>
      </c>
      <c r="F456" s="26">
        <f>IFERROR(SUMIF(Hoja2!$H:$H,C456,Hoja2!$U:$U),0)</f>
        <v>0</v>
      </c>
      <c r="G456" s="17" t="str">
        <f>IFERROR(VLOOKUP(C456,Hoja3!$C:$D,2,FALSE),"")</f>
        <v>KIARA AQUINO</v>
      </c>
      <c r="H456" s="17"/>
      <c r="I456" s="17" t="s">
        <v>152</v>
      </c>
      <c r="J456" s="17" t="s">
        <v>165</v>
      </c>
      <c r="K456" s="17" t="s">
        <v>42</v>
      </c>
      <c r="L456" s="17">
        <v>10000064</v>
      </c>
      <c r="M456" s="17" t="s">
        <v>149</v>
      </c>
      <c r="N456" s="17">
        <v>151363136</v>
      </c>
      <c r="O456" s="17" t="s">
        <v>219</v>
      </c>
      <c r="P456" s="17" t="s">
        <v>148</v>
      </c>
      <c r="Q456" s="17"/>
      <c r="R456" s="17"/>
      <c r="S456" s="17" t="s">
        <v>147</v>
      </c>
      <c r="T456" s="17" t="s">
        <v>146</v>
      </c>
      <c r="U456" s="17" t="s">
        <v>145</v>
      </c>
      <c r="V456" s="17"/>
      <c r="W456" s="17"/>
    </row>
    <row r="457" spans="1:23" x14ac:dyDescent="0.45">
      <c r="A457" s="17" t="s">
        <v>1065</v>
      </c>
      <c r="B457" s="22">
        <v>46109</v>
      </c>
      <c r="C457" s="17">
        <v>151429920</v>
      </c>
      <c r="D457" s="26">
        <f>IFERROR(SUMIF(Servicios_Promotores!$B:$B,C457,Servicios_Promotores!$R:$R),0)</f>
        <v>0</v>
      </c>
      <c r="E457" s="26">
        <f>IFERROR(SUMIF(Pago_GERE!$B:$B,C457,Pago_GERE!$R:$R),0)</f>
        <v>0</v>
      </c>
      <c r="F457" s="26">
        <f>IFERROR(SUMIF(Hoja2!$H:$H,C457,Hoja2!$U:$U),0)</f>
        <v>0</v>
      </c>
      <c r="G457" s="17" t="s">
        <v>1552</v>
      </c>
      <c r="H457" s="17"/>
      <c r="I457" s="17" t="s">
        <v>152</v>
      </c>
      <c r="J457" s="17" t="s">
        <v>151</v>
      </c>
      <c r="K457" s="17" t="s">
        <v>42</v>
      </c>
      <c r="L457" s="17">
        <v>10000064</v>
      </c>
      <c r="M457" s="17" t="s">
        <v>149</v>
      </c>
      <c r="N457" s="17">
        <v>23914038</v>
      </c>
      <c r="O457" s="17" t="s">
        <v>1066</v>
      </c>
      <c r="P457" s="17" t="s">
        <v>148</v>
      </c>
      <c r="Q457" s="17" t="s">
        <v>1064</v>
      </c>
      <c r="R457" s="17" t="s">
        <v>1066</v>
      </c>
      <c r="S457" s="17" t="s">
        <v>147</v>
      </c>
      <c r="T457" s="17" t="s">
        <v>146</v>
      </c>
      <c r="U457" s="17" t="s">
        <v>251</v>
      </c>
      <c r="V457" s="17"/>
      <c r="W457" s="17"/>
    </row>
    <row r="458" spans="1:23" x14ac:dyDescent="0.45">
      <c r="A458" s="17" t="s">
        <v>1065</v>
      </c>
      <c r="B458" s="22">
        <v>46108</v>
      </c>
      <c r="C458" s="17">
        <v>151428403</v>
      </c>
      <c r="D458" s="26">
        <f>IFERROR(SUMIF(Servicios_Promotores!$B:$B,C458,Servicios_Promotores!$R:$R),0)</f>
        <v>0</v>
      </c>
      <c r="E458" s="26">
        <f>IFERROR(SUMIF(Pago_GERE!$B:$B,C458,Pago_GERE!$R:$R),0)</f>
        <v>0</v>
      </c>
      <c r="F458" s="26">
        <f>IFERROR(SUMIF(Hoja2!$H:$H,C458,Hoja2!$U:$U),0)</f>
        <v>0</v>
      </c>
      <c r="G458" s="17" t="s">
        <v>1552</v>
      </c>
      <c r="H458" s="17"/>
      <c r="I458" s="17" t="s">
        <v>152</v>
      </c>
      <c r="J458" s="17" t="s">
        <v>151</v>
      </c>
      <c r="K458" s="17" t="s">
        <v>39</v>
      </c>
      <c r="L458" s="17">
        <v>10000064</v>
      </c>
      <c r="M458" s="17" t="s">
        <v>149</v>
      </c>
      <c r="N458" s="17">
        <v>23902045</v>
      </c>
      <c r="O458" s="17" t="s">
        <v>1066</v>
      </c>
      <c r="P458" s="17" t="s">
        <v>170</v>
      </c>
      <c r="Q458" s="17" t="s">
        <v>1097</v>
      </c>
      <c r="R458" s="17" t="s">
        <v>1066</v>
      </c>
      <c r="S458" s="17" t="s">
        <v>147</v>
      </c>
      <c r="T458" s="17" t="s">
        <v>169</v>
      </c>
      <c r="U458" s="17" t="s">
        <v>251</v>
      </c>
      <c r="V458" s="17"/>
      <c r="W458" s="17"/>
    </row>
    <row r="459" spans="1:23" x14ac:dyDescent="0.45">
      <c r="A459" s="17" t="s">
        <v>1065</v>
      </c>
      <c r="B459" s="22">
        <v>46104</v>
      </c>
      <c r="C459" s="17">
        <v>151419942</v>
      </c>
      <c r="D459" s="26">
        <f>IFERROR(SUMIF(Servicios_Promotores!$B:$B,C459,Servicios_Promotores!$R:$R),0)</f>
        <v>0</v>
      </c>
      <c r="E459" s="26">
        <f>IFERROR(SUMIF(Pago_GERE!$B:$B,C459,Pago_GERE!$R:$R),0)</f>
        <v>0</v>
      </c>
      <c r="F459" s="26">
        <f>IFERROR(SUMIF(Hoja2!$H:$H,C459,Hoja2!$U:$U),0)</f>
        <v>0</v>
      </c>
      <c r="G459" s="17" t="s">
        <v>1552</v>
      </c>
      <c r="H459" s="17"/>
      <c r="I459" s="17" t="s">
        <v>163</v>
      </c>
      <c r="J459" s="17" t="s">
        <v>151</v>
      </c>
      <c r="K459" s="17" t="s">
        <v>39</v>
      </c>
      <c r="L459" s="17">
        <v>10000064</v>
      </c>
      <c r="M459" s="17" t="s">
        <v>149</v>
      </c>
      <c r="N459" s="17">
        <v>23781055</v>
      </c>
      <c r="O459" s="17" t="s">
        <v>1066</v>
      </c>
      <c r="P459" s="17" t="s">
        <v>160</v>
      </c>
      <c r="Q459" s="17" t="s">
        <v>1064</v>
      </c>
      <c r="R459" s="17" t="s">
        <v>1066</v>
      </c>
      <c r="S459" s="17" t="s">
        <v>147</v>
      </c>
      <c r="T459" s="17" t="s">
        <v>159</v>
      </c>
      <c r="U459" s="17" t="s">
        <v>251</v>
      </c>
      <c r="V459" s="17"/>
      <c r="W459" s="17"/>
    </row>
    <row r="460" spans="1:23" x14ac:dyDescent="0.45">
      <c r="A460" s="17" t="s">
        <v>1065</v>
      </c>
      <c r="B460" s="22">
        <v>46099</v>
      </c>
      <c r="C460" s="17">
        <v>151409850</v>
      </c>
      <c r="D460" s="26">
        <f>IFERROR(SUMIF(Servicios_Promotores!$B:$B,C460,Servicios_Promotores!$R:$R),0)</f>
        <v>0</v>
      </c>
      <c r="E460" s="26">
        <f>IFERROR(SUMIF(Pago_GERE!$B:$B,C460,Pago_GERE!$R:$R),0)</f>
        <v>0</v>
      </c>
      <c r="F460" s="26">
        <f>IFERROR(SUMIF(Hoja2!$H:$H,C460,Hoja2!$U:$U),0)</f>
        <v>0</v>
      </c>
      <c r="G460" s="17" t="s">
        <v>1552</v>
      </c>
      <c r="H460" s="17"/>
      <c r="I460" s="17" t="s">
        <v>152</v>
      </c>
      <c r="J460" s="17" t="s">
        <v>151</v>
      </c>
      <c r="K460" s="17" t="s">
        <v>42</v>
      </c>
      <c r="L460" s="17">
        <v>10000064</v>
      </c>
      <c r="M460" s="17" t="s">
        <v>149</v>
      </c>
      <c r="N460" s="17">
        <v>23335947</v>
      </c>
      <c r="O460" s="17" t="s">
        <v>1066</v>
      </c>
      <c r="P460" s="17" t="s">
        <v>192</v>
      </c>
      <c r="Q460" s="17" t="s">
        <v>1064</v>
      </c>
      <c r="R460" s="17" t="s">
        <v>1066</v>
      </c>
      <c r="S460" s="17" t="s">
        <v>147</v>
      </c>
      <c r="T460" s="17" t="s">
        <v>146</v>
      </c>
      <c r="U460" s="17" t="s">
        <v>251</v>
      </c>
      <c r="V460" s="17"/>
      <c r="W460" s="17"/>
    </row>
    <row r="461" spans="1:23" x14ac:dyDescent="0.45">
      <c r="A461" s="17" t="s">
        <v>1065</v>
      </c>
      <c r="B461" s="22">
        <v>46090</v>
      </c>
      <c r="C461" s="17">
        <v>151394893</v>
      </c>
      <c r="D461" s="26">
        <f>IFERROR(SUMIF(Servicios_Promotores!$B:$B,C461,Servicios_Promotores!$R:$R),0)</f>
        <v>0</v>
      </c>
      <c r="E461" s="26">
        <f>IFERROR(SUMIF(Pago_GERE!$B:$B,C461,Pago_GERE!$R:$R),0)</f>
        <v>0</v>
      </c>
      <c r="F461" s="26">
        <f>IFERROR(SUMIF(Hoja2!$H:$H,C461,Hoja2!$U:$U),0)</f>
        <v>0</v>
      </c>
      <c r="G461" s="17" t="s">
        <v>1552</v>
      </c>
      <c r="H461" s="17"/>
      <c r="I461" s="17" t="s">
        <v>163</v>
      </c>
      <c r="J461" s="17" t="s">
        <v>151</v>
      </c>
      <c r="K461" s="17" t="s">
        <v>42</v>
      </c>
      <c r="L461" s="17">
        <v>10000064</v>
      </c>
      <c r="M461" s="17" t="s">
        <v>149</v>
      </c>
      <c r="N461" s="17">
        <v>22910391</v>
      </c>
      <c r="O461" s="17" t="s">
        <v>1066</v>
      </c>
      <c r="P461" s="17" t="s">
        <v>148</v>
      </c>
      <c r="Q461" s="17" t="s">
        <v>1064</v>
      </c>
      <c r="R461" s="17" t="s">
        <v>1066</v>
      </c>
      <c r="S461" s="17" t="s">
        <v>147</v>
      </c>
      <c r="T461" s="17" t="s">
        <v>146</v>
      </c>
      <c r="U461" s="17" t="s">
        <v>251</v>
      </c>
      <c r="V461" s="17"/>
      <c r="W461" s="17"/>
    </row>
    <row r="462" spans="1:23" x14ac:dyDescent="0.45">
      <c r="A462" s="17" t="s">
        <v>1065</v>
      </c>
      <c r="B462" s="22">
        <v>46090</v>
      </c>
      <c r="C462" s="17">
        <v>151394961</v>
      </c>
      <c r="D462" s="26">
        <f>IFERROR(SUMIF(Servicios_Promotores!$B:$B,C462,Servicios_Promotores!$R:$R),0)</f>
        <v>0</v>
      </c>
      <c r="E462" s="26">
        <f>IFERROR(SUMIF(Pago_GERE!$B:$B,C462,Pago_GERE!$R:$R),0)</f>
        <v>0</v>
      </c>
      <c r="F462" s="26">
        <f>IFERROR(SUMIF(Hoja2!$H:$H,C462,Hoja2!$U:$U),0)</f>
        <v>0</v>
      </c>
      <c r="G462" s="17" t="s">
        <v>1552</v>
      </c>
      <c r="H462" s="17"/>
      <c r="I462" s="17" t="s">
        <v>152</v>
      </c>
      <c r="J462" s="17" t="s">
        <v>151</v>
      </c>
      <c r="K462" s="17" t="s">
        <v>42</v>
      </c>
      <c r="L462" s="17">
        <v>10000064</v>
      </c>
      <c r="M462" s="17" t="s">
        <v>149</v>
      </c>
      <c r="N462" s="17">
        <v>22907015</v>
      </c>
      <c r="O462" s="17" t="s">
        <v>1066</v>
      </c>
      <c r="P462" s="17" t="s">
        <v>148</v>
      </c>
      <c r="Q462" s="17" t="s">
        <v>1064</v>
      </c>
      <c r="R462" s="17" t="s">
        <v>1066</v>
      </c>
      <c r="S462" s="17" t="s">
        <v>147</v>
      </c>
      <c r="T462" s="17" t="s">
        <v>146</v>
      </c>
      <c r="U462" s="17" t="s">
        <v>251</v>
      </c>
      <c r="V462" s="17"/>
      <c r="W462" s="17"/>
    </row>
    <row r="463" spans="1:23" x14ac:dyDescent="0.45">
      <c r="A463" s="17" t="s">
        <v>1065</v>
      </c>
      <c r="B463" s="22">
        <v>46083</v>
      </c>
      <c r="C463" s="17">
        <v>151382276</v>
      </c>
      <c r="D463" s="26">
        <f>IFERROR(SUMIF(Servicios_Promotores!$B:$B,C463,Servicios_Promotores!$R:$R),0)</f>
        <v>0</v>
      </c>
      <c r="E463" s="26">
        <f>IFERROR(SUMIF(Pago_GERE!$B:$B,C463,Pago_GERE!$R:$R),0)</f>
        <v>0</v>
      </c>
      <c r="F463" s="26">
        <f>IFERROR(SUMIF(Hoja2!$H:$H,C463,Hoja2!$U:$U),0)</f>
        <v>0</v>
      </c>
      <c r="G463" s="17" t="s">
        <v>1552</v>
      </c>
      <c r="H463" s="17"/>
      <c r="I463" s="17" t="s">
        <v>204</v>
      </c>
      <c r="J463" s="17" t="s">
        <v>151</v>
      </c>
      <c r="K463" s="17" t="s">
        <v>42</v>
      </c>
      <c r="L463" s="17">
        <v>10000064</v>
      </c>
      <c r="M463" s="17" t="s">
        <v>149</v>
      </c>
      <c r="N463" s="17">
        <v>22730573</v>
      </c>
      <c r="O463" s="17" t="s">
        <v>1066</v>
      </c>
      <c r="P463" s="17" t="s">
        <v>148</v>
      </c>
      <c r="Q463" s="17" t="s">
        <v>1064</v>
      </c>
      <c r="R463" s="17" t="s">
        <v>1066</v>
      </c>
      <c r="S463" s="17" t="s">
        <v>155</v>
      </c>
      <c r="T463" s="17" t="s">
        <v>146</v>
      </c>
      <c r="U463" s="17" t="s">
        <v>251</v>
      </c>
      <c r="V463" s="17"/>
      <c r="W463" s="17"/>
    </row>
    <row r="464" spans="1:23" x14ac:dyDescent="0.45">
      <c r="A464" s="17" t="s">
        <v>1065</v>
      </c>
      <c r="B464" s="22">
        <v>46083</v>
      </c>
      <c r="C464" s="17">
        <v>151382311</v>
      </c>
      <c r="D464" s="26">
        <f>IFERROR(SUMIF(Servicios_Promotores!$B:$B,C464,Servicios_Promotores!$R:$R),0)</f>
        <v>0</v>
      </c>
      <c r="E464" s="26">
        <f>IFERROR(SUMIF(Pago_GERE!$B:$B,C464,Pago_GERE!$R:$R),0)</f>
        <v>0</v>
      </c>
      <c r="F464" s="26">
        <f>IFERROR(SUMIF(Hoja2!$H:$H,C464,Hoja2!$U:$U),0)</f>
        <v>0</v>
      </c>
      <c r="G464" s="17" t="s">
        <v>1552</v>
      </c>
      <c r="H464" s="17"/>
      <c r="I464" s="17" t="s">
        <v>163</v>
      </c>
      <c r="J464" s="17" t="s">
        <v>151</v>
      </c>
      <c r="K464" s="17" t="s">
        <v>62</v>
      </c>
      <c r="L464" s="17">
        <v>10000064</v>
      </c>
      <c r="M464" s="17" t="s">
        <v>149</v>
      </c>
      <c r="N464" s="17">
        <v>22729400</v>
      </c>
      <c r="O464" s="17" t="s">
        <v>1066</v>
      </c>
      <c r="P464" s="17" t="s">
        <v>188</v>
      </c>
      <c r="Q464" s="17" t="s">
        <v>1064</v>
      </c>
      <c r="R464" s="17" t="s">
        <v>1066</v>
      </c>
      <c r="S464" s="17" t="s">
        <v>147</v>
      </c>
      <c r="T464" s="17" t="s">
        <v>187</v>
      </c>
      <c r="U464" s="17" t="s">
        <v>251</v>
      </c>
      <c r="V464" s="17"/>
      <c r="W464" s="17"/>
    </row>
    <row r="465" spans="1:23" x14ac:dyDescent="0.45">
      <c r="A465" s="17" t="s">
        <v>1065</v>
      </c>
      <c r="B465" s="22">
        <v>46141</v>
      </c>
      <c r="C465" s="17">
        <v>151483730</v>
      </c>
      <c r="D465" s="26">
        <f>IFERROR(SUMIF(Servicios_Promotores!$B:$B,C465,Servicios_Promotores!$R:$R),0)</f>
        <v>0</v>
      </c>
      <c r="E465" s="26">
        <f>IFERROR(SUMIF(Pago_GERE!$B:$B,C465,Pago_GERE!$R:$R),0)</f>
        <v>0</v>
      </c>
      <c r="F465" s="26">
        <f>IFERROR(SUMIF(Hoja2!$H:$H,C465,Hoja2!$U:$U),0)</f>
        <v>0</v>
      </c>
      <c r="G465" s="17" t="s">
        <v>1552</v>
      </c>
      <c r="H465" s="17"/>
      <c r="I465" s="17" t="s">
        <v>152</v>
      </c>
      <c r="J465" s="17" t="s">
        <v>165</v>
      </c>
      <c r="K465" s="17" t="s">
        <v>42</v>
      </c>
      <c r="L465" s="17">
        <v>10000064</v>
      </c>
      <c r="M465" s="17" t="s">
        <v>149</v>
      </c>
      <c r="N465" s="17">
        <v>24691978</v>
      </c>
      <c r="O465" s="17" t="s">
        <v>1100</v>
      </c>
      <c r="P465" s="17" t="s">
        <v>192</v>
      </c>
      <c r="Q465" s="17" t="s">
        <v>1064</v>
      </c>
      <c r="R465" s="17" t="s">
        <v>1100</v>
      </c>
      <c r="S465" s="17" t="s">
        <v>147</v>
      </c>
      <c r="T465" s="17" t="s">
        <v>146</v>
      </c>
      <c r="U465" s="17" t="s">
        <v>251</v>
      </c>
      <c r="V465" s="17"/>
      <c r="W465" s="17"/>
    </row>
    <row r="466" spans="1:23" x14ac:dyDescent="0.45">
      <c r="A466" s="17" t="s">
        <v>1065</v>
      </c>
      <c r="B466" s="22">
        <v>46141</v>
      </c>
      <c r="C466" s="17">
        <v>151483793</v>
      </c>
      <c r="D466" s="26">
        <f>IFERROR(SUMIF(Servicios_Promotores!$B:$B,C466,Servicios_Promotores!$R:$R),0)</f>
        <v>0</v>
      </c>
      <c r="E466" s="26">
        <f>IFERROR(SUMIF(Pago_GERE!$B:$B,C466,Pago_GERE!$R:$R),0)</f>
        <v>0</v>
      </c>
      <c r="F466" s="26">
        <f>IFERROR(SUMIF(Hoja2!$H:$H,C466,Hoja2!$U:$U),0)</f>
        <v>0</v>
      </c>
      <c r="G466" s="17" t="s">
        <v>1552</v>
      </c>
      <c r="H466" s="17"/>
      <c r="I466" s="17" t="s">
        <v>152</v>
      </c>
      <c r="J466" s="17" t="s">
        <v>151</v>
      </c>
      <c r="K466" s="17" t="s">
        <v>42</v>
      </c>
      <c r="L466" s="17">
        <v>10000064</v>
      </c>
      <c r="M466" s="17" t="s">
        <v>149</v>
      </c>
      <c r="N466" s="17">
        <v>24687342</v>
      </c>
      <c r="O466" s="17" t="s">
        <v>1066</v>
      </c>
      <c r="P466" s="17" t="s">
        <v>148</v>
      </c>
      <c r="Q466" s="17" t="s">
        <v>1064</v>
      </c>
      <c r="R466" s="17" t="s">
        <v>1066</v>
      </c>
      <c r="S466" s="17" t="s">
        <v>147</v>
      </c>
      <c r="T466" s="17" t="s">
        <v>146</v>
      </c>
      <c r="U466" s="17" t="s">
        <v>251</v>
      </c>
      <c r="V466" s="17"/>
      <c r="W466" s="17"/>
    </row>
    <row r="467" spans="1:23" x14ac:dyDescent="0.45">
      <c r="A467" s="17" t="s">
        <v>1065</v>
      </c>
      <c r="B467" s="22">
        <v>46128</v>
      </c>
      <c r="C467" s="17">
        <v>151462914</v>
      </c>
      <c r="D467" s="26">
        <f>IFERROR(SUMIF(Servicios_Promotores!$B:$B,C467,Servicios_Promotores!$R:$R),0)</f>
        <v>0</v>
      </c>
      <c r="E467" s="26">
        <f>IFERROR(SUMIF(Pago_GERE!$B:$B,C467,Pago_GERE!$R:$R),0)</f>
        <v>0</v>
      </c>
      <c r="F467" s="26">
        <f>IFERROR(SUMIF(Hoja2!$H:$H,C467,Hoja2!$U:$U),0)</f>
        <v>0</v>
      </c>
      <c r="G467" s="17" t="s">
        <v>1552</v>
      </c>
      <c r="H467" s="17"/>
      <c r="I467" s="17" t="s">
        <v>152</v>
      </c>
      <c r="J467" s="17" t="s">
        <v>151</v>
      </c>
      <c r="K467" s="17" t="s">
        <v>42</v>
      </c>
      <c r="L467" s="17">
        <v>10000064</v>
      </c>
      <c r="M467" s="17" t="s">
        <v>149</v>
      </c>
      <c r="N467" s="17">
        <v>24338562</v>
      </c>
      <c r="O467" s="17" t="s">
        <v>1066</v>
      </c>
      <c r="P467" s="17" t="s">
        <v>148</v>
      </c>
      <c r="Q467" s="17" t="s">
        <v>1064</v>
      </c>
      <c r="R467" s="17" t="s">
        <v>1066</v>
      </c>
      <c r="S467" s="17" t="s">
        <v>147</v>
      </c>
      <c r="T467" s="17" t="s">
        <v>146</v>
      </c>
      <c r="U467" s="17" t="s">
        <v>251</v>
      </c>
      <c r="V467" s="17"/>
      <c r="W467" s="17"/>
    </row>
    <row r="468" spans="1:23" x14ac:dyDescent="0.45">
      <c r="A468" s="17" t="s">
        <v>1065</v>
      </c>
      <c r="B468" s="22">
        <v>46128</v>
      </c>
      <c r="C468" s="17">
        <v>151462848</v>
      </c>
      <c r="D468" s="26">
        <f>IFERROR(SUMIF(Servicios_Promotores!$B:$B,C468,Servicios_Promotores!$R:$R),0)</f>
        <v>0</v>
      </c>
      <c r="E468" s="26">
        <f>IFERROR(SUMIF(Pago_GERE!$B:$B,C468,Pago_GERE!$R:$R),0)</f>
        <v>0</v>
      </c>
      <c r="F468" s="26">
        <f>IFERROR(SUMIF(Hoja2!$H:$H,C468,Hoja2!$U:$U),0)</f>
        <v>0</v>
      </c>
      <c r="G468" s="17" t="s">
        <v>1552</v>
      </c>
      <c r="H468" s="17"/>
      <c r="I468" s="17" t="s">
        <v>152</v>
      </c>
      <c r="J468" s="17" t="s">
        <v>151</v>
      </c>
      <c r="K468" s="17" t="s">
        <v>42</v>
      </c>
      <c r="L468" s="17">
        <v>10000064</v>
      </c>
      <c r="M468" s="17" t="s">
        <v>149</v>
      </c>
      <c r="N468" s="17">
        <v>24338021</v>
      </c>
      <c r="O468" s="17" t="s">
        <v>1066</v>
      </c>
      <c r="P468" s="17" t="s">
        <v>148</v>
      </c>
      <c r="Q468" s="17" t="s">
        <v>1064</v>
      </c>
      <c r="R468" s="17" t="s">
        <v>1066</v>
      </c>
      <c r="S468" s="17" t="s">
        <v>147</v>
      </c>
      <c r="T468" s="17" t="s">
        <v>146</v>
      </c>
      <c r="U468" s="17" t="s">
        <v>251</v>
      </c>
      <c r="V468" s="17"/>
      <c r="W468" s="17"/>
    </row>
    <row r="469" spans="1:23" x14ac:dyDescent="0.45">
      <c r="A469" s="17" t="s">
        <v>1065</v>
      </c>
      <c r="B469" s="22">
        <v>46122</v>
      </c>
      <c r="C469" s="17">
        <v>151452092</v>
      </c>
      <c r="D469" s="26">
        <f>IFERROR(SUMIF(Servicios_Promotores!$B:$B,C469,Servicios_Promotores!$R:$R),0)</f>
        <v>0</v>
      </c>
      <c r="E469" s="26">
        <f>IFERROR(SUMIF(Pago_GERE!$B:$B,C469,Pago_GERE!$R:$R),0)</f>
        <v>0</v>
      </c>
      <c r="F469" s="26">
        <f>IFERROR(SUMIF(Hoja2!$H:$H,C469,Hoja2!$U:$U),0)</f>
        <v>0</v>
      </c>
      <c r="G469" s="17" t="s">
        <v>1552</v>
      </c>
      <c r="H469" s="17"/>
      <c r="I469" s="17" t="s">
        <v>152</v>
      </c>
      <c r="J469" s="17" t="s">
        <v>151</v>
      </c>
      <c r="K469" s="17" t="s">
        <v>31</v>
      </c>
      <c r="L469" s="17">
        <v>10000064</v>
      </c>
      <c r="M469" s="17" t="s">
        <v>149</v>
      </c>
      <c r="N469" s="17">
        <v>24193000</v>
      </c>
      <c r="O469" s="17" t="s">
        <v>1089</v>
      </c>
      <c r="P469" s="17" t="s">
        <v>179</v>
      </c>
      <c r="Q469" s="17" t="s">
        <v>1064</v>
      </c>
      <c r="R469" s="17" t="s">
        <v>1089</v>
      </c>
      <c r="S469" s="17" t="s">
        <v>147</v>
      </c>
      <c r="T469" s="17" t="s">
        <v>178</v>
      </c>
      <c r="U469" s="17" t="s">
        <v>251</v>
      </c>
      <c r="V469" s="17"/>
      <c r="W469" s="17"/>
    </row>
    <row r="470" spans="1:23" x14ac:dyDescent="0.45">
      <c r="A470" s="17" t="s">
        <v>1065</v>
      </c>
      <c r="B470" s="22">
        <v>46119</v>
      </c>
      <c r="C470" s="17">
        <v>151446028</v>
      </c>
      <c r="D470" s="26">
        <f>IFERROR(SUMIF(Servicios_Promotores!$B:$B,C470,Servicios_Promotores!$R:$R),0)</f>
        <v>0</v>
      </c>
      <c r="E470" s="26">
        <f>IFERROR(SUMIF(Pago_GERE!$B:$B,C470,Pago_GERE!$R:$R),0)</f>
        <v>0</v>
      </c>
      <c r="F470" s="26">
        <f>IFERROR(SUMIF(Hoja2!$H:$H,C470,Hoja2!$U:$U),0)</f>
        <v>0</v>
      </c>
      <c r="G470" s="17" t="s">
        <v>1552</v>
      </c>
      <c r="H470" s="17"/>
      <c r="I470" s="17" t="s">
        <v>163</v>
      </c>
      <c r="J470" s="17" t="s">
        <v>151</v>
      </c>
      <c r="K470" s="17" t="s">
        <v>36</v>
      </c>
      <c r="L470" s="17">
        <v>10000064</v>
      </c>
      <c r="M470" s="17" t="s">
        <v>149</v>
      </c>
      <c r="N470" s="17">
        <v>24096591</v>
      </c>
      <c r="O470" s="17" t="s">
        <v>1088</v>
      </c>
      <c r="P470" s="17" t="s">
        <v>174</v>
      </c>
      <c r="Q470" s="17" t="s">
        <v>1064</v>
      </c>
      <c r="R470" s="17" t="s">
        <v>1088</v>
      </c>
      <c r="S470" s="17" t="s">
        <v>147</v>
      </c>
      <c r="T470" s="17" t="s">
        <v>173</v>
      </c>
      <c r="U470" s="17" t="s">
        <v>251</v>
      </c>
      <c r="V470" s="17"/>
      <c r="W470" s="17"/>
    </row>
    <row r="471" spans="1:23" x14ac:dyDescent="0.45">
      <c r="A471" s="17" t="s">
        <v>1065</v>
      </c>
      <c r="B471" s="22">
        <v>46114</v>
      </c>
      <c r="C471" s="17">
        <v>151437550</v>
      </c>
      <c r="D471" s="26">
        <f>IFERROR(SUMIF(Servicios_Promotores!$B:$B,C471,Servicios_Promotores!$R:$R),0)</f>
        <v>0</v>
      </c>
      <c r="E471" s="26">
        <f>IFERROR(SUMIF(Pago_GERE!$B:$B,C471,Pago_GERE!$R:$R),0)</f>
        <v>0</v>
      </c>
      <c r="F471" s="26">
        <f>IFERROR(SUMIF(Hoja2!$H:$H,C471,Hoja2!$U:$U),0)</f>
        <v>0</v>
      </c>
      <c r="G471" s="17" t="s">
        <v>1552</v>
      </c>
      <c r="H471" s="17"/>
      <c r="I471" s="17" t="s">
        <v>163</v>
      </c>
      <c r="J471" s="17" t="s">
        <v>151</v>
      </c>
      <c r="K471" s="17" t="s">
        <v>39</v>
      </c>
      <c r="L471" s="17">
        <v>10000064</v>
      </c>
      <c r="M471" s="17" t="s">
        <v>149</v>
      </c>
      <c r="N471" s="17">
        <v>23995366</v>
      </c>
      <c r="O471" s="17" t="s">
        <v>1085</v>
      </c>
      <c r="P471" s="17" t="s">
        <v>160</v>
      </c>
      <c r="Q471" s="17" t="s">
        <v>1064</v>
      </c>
      <c r="R471" s="17" t="s">
        <v>1085</v>
      </c>
      <c r="S471" s="17" t="s">
        <v>147</v>
      </c>
      <c r="T471" s="17" t="s">
        <v>159</v>
      </c>
      <c r="U471" s="17" t="s">
        <v>251</v>
      </c>
      <c r="V471" s="17"/>
      <c r="W471" s="17"/>
    </row>
    <row r="472" spans="1:23" x14ac:dyDescent="0.45">
      <c r="A472" s="17" t="s">
        <v>1065</v>
      </c>
      <c r="B472" s="22">
        <v>46155</v>
      </c>
      <c r="C472" s="17">
        <v>151505805</v>
      </c>
      <c r="D472" s="26">
        <f>IFERROR(SUMIF(Servicios_Promotores!$B:$B,C472,Servicios_Promotores!$R:$R),0)</f>
        <v>0</v>
      </c>
      <c r="E472" s="26">
        <f>IFERROR(SUMIF(Pago_GERE!$B:$B,C472,Pago_GERE!$R:$R),0)</f>
        <v>0</v>
      </c>
      <c r="F472" s="26">
        <f>IFERROR(SUMIF(Hoja2!$H:$H,C472,Hoja2!$U:$U),0)</f>
        <v>0</v>
      </c>
      <c r="G472" s="17" t="s">
        <v>1552</v>
      </c>
      <c r="H472" s="17"/>
      <c r="I472" s="17" t="s">
        <v>152</v>
      </c>
      <c r="J472" s="17" t="s">
        <v>165</v>
      </c>
      <c r="K472" s="17" t="s">
        <v>42</v>
      </c>
      <c r="L472" s="17">
        <v>10000064</v>
      </c>
      <c r="M472" s="17" t="s">
        <v>149</v>
      </c>
      <c r="N472" s="17">
        <v>25094525</v>
      </c>
      <c r="O472" s="17" t="s">
        <v>1084</v>
      </c>
      <c r="P472" s="17" t="s">
        <v>367</v>
      </c>
      <c r="Q472" s="17" t="s">
        <v>1064</v>
      </c>
      <c r="R472" s="17" t="s">
        <v>1084</v>
      </c>
      <c r="S472" s="17" t="s">
        <v>147</v>
      </c>
      <c r="T472" s="17" t="s">
        <v>223</v>
      </c>
      <c r="U472" s="17" t="s">
        <v>251</v>
      </c>
      <c r="V472" s="17"/>
      <c r="W472" s="17"/>
    </row>
    <row r="473" spans="1:23" x14ac:dyDescent="0.45">
      <c r="A473" s="17" t="s">
        <v>1065</v>
      </c>
      <c r="B473" s="22">
        <v>46160</v>
      </c>
      <c r="C473" s="17">
        <v>151512189</v>
      </c>
      <c r="D473" s="26">
        <f>IFERROR(SUMIF(Servicios_Promotores!$B:$B,C473,Servicios_Promotores!$R:$R),0)</f>
        <v>0</v>
      </c>
      <c r="E473" s="26">
        <f>IFERROR(SUMIF(Pago_GERE!$B:$B,C473,Pago_GERE!$R:$R),0)</f>
        <v>0</v>
      </c>
      <c r="F473" s="26">
        <f>IFERROR(SUMIF(Hoja2!$H:$H,C473,Hoja2!$U:$U),0)</f>
        <v>0</v>
      </c>
      <c r="G473" s="17" t="s">
        <v>1552</v>
      </c>
      <c r="H473" s="17"/>
      <c r="I473" s="17" t="s">
        <v>152</v>
      </c>
      <c r="J473" s="17" t="s">
        <v>151</v>
      </c>
      <c r="K473" s="17" t="s">
        <v>42</v>
      </c>
      <c r="L473" s="17">
        <v>10000064</v>
      </c>
      <c r="M473" s="17" t="s">
        <v>149</v>
      </c>
      <c r="N473" s="17">
        <v>25174065</v>
      </c>
      <c r="O473" s="17" t="s">
        <v>1066</v>
      </c>
      <c r="P473" s="17" t="s">
        <v>224</v>
      </c>
      <c r="Q473" s="17" t="s">
        <v>1064</v>
      </c>
      <c r="R473" s="17" t="s">
        <v>1066</v>
      </c>
      <c r="S473" s="17" t="s">
        <v>147</v>
      </c>
      <c r="T473" s="17" t="s">
        <v>223</v>
      </c>
      <c r="U473" s="17" t="s">
        <v>251</v>
      </c>
      <c r="V473" s="17"/>
      <c r="W473" s="17"/>
    </row>
    <row r="474" spans="1:23" x14ac:dyDescent="0.45">
      <c r="A474" s="17" t="s">
        <v>1065</v>
      </c>
      <c r="B474" s="22">
        <v>46162</v>
      </c>
      <c r="C474" s="17">
        <v>151517067</v>
      </c>
      <c r="D474" s="26">
        <f>IFERROR(SUMIF(Servicios_Promotores!$B:$B,C474,Servicios_Promotores!$R:$R),0)</f>
        <v>0</v>
      </c>
      <c r="E474" s="26">
        <f>IFERROR(SUMIF(Pago_GERE!$B:$B,C474,Pago_GERE!$R:$R),0)</f>
        <v>0</v>
      </c>
      <c r="F474" s="26">
        <f>IFERROR(SUMIF(Hoja2!$H:$H,C474,Hoja2!$U:$U),0)</f>
        <v>0</v>
      </c>
      <c r="G474" s="17" t="s">
        <v>1552</v>
      </c>
      <c r="H474" s="17"/>
      <c r="I474" s="17" t="s">
        <v>152</v>
      </c>
      <c r="J474" s="17" t="s">
        <v>165</v>
      </c>
      <c r="K474" s="17" t="s">
        <v>42</v>
      </c>
      <c r="L474" s="17">
        <v>10000064</v>
      </c>
      <c r="M474" s="17" t="s">
        <v>149</v>
      </c>
      <c r="N474" s="17">
        <v>25238080</v>
      </c>
      <c r="O474" s="17" t="s">
        <v>164</v>
      </c>
      <c r="P474" s="17" t="s">
        <v>148</v>
      </c>
      <c r="Q474" s="17" t="s">
        <v>1064</v>
      </c>
      <c r="R474" s="17" t="s">
        <v>164</v>
      </c>
      <c r="S474" s="17" t="s">
        <v>147</v>
      </c>
      <c r="T474" s="17" t="s">
        <v>146</v>
      </c>
      <c r="U474" s="17" t="s">
        <v>251</v>
      </c>
      <c r="V474" s="17"/>
      <c r="W474" s="17"/>
    </row>
    <row r="475" spans="1:23" x14ac:dyDescent="0.45">
      <c r="A475" s="17" t="s">
        <v>1065</v>
      </c>
      <c r="B475" s="22">
        <v>46150</v>
      </c>
      <c r="C475" s="17">
        <v>151498017</v>
      </c>
      <c r="D475" s="26">
        <f>IFERROR(SUMIF(Servicios_Promotores!$B:$B,C475,Servicios_Promotores!$R:$R),0)</f>
        <v>0</v>
      </c>
      <c r="E475" s="26">
        <f>IFERROR(SUMIF(Pago_GERE!$B:$B,C475,Pago_GERE!$R:$R),0)</f>
        <v>0</v>
      </c>
      <c r="F475" s="26">
        <f>IFERROR(SUMIF(Hoja2!$H:$H,C475,Hoja2!$U:$U),0)</f>
        <v>0</v>
      </c>
      <c r="G475" s="17" t="s">
        <v>1552</v>
      </c>
      <c r="H475" s="17"/>
      <c r="I475" s="17" t="s">
        <v>152</v>
      </c>
      <c r="J475" s="17" t="s">
        <v>151</v>
      </c>
      <c r="K475" s="17" t="s">
        <v>42</v>
      </c>
      <c r="L475" s="17">
        <v>10000064</v>
      </c>
      <c r="M475" s="17" t="s">
        <v>149</v>
      </c>
      <c r="N475" s="17">
        <v>24920219</v>
      </c>
      <c r="O475" s="17" t="s">
        <v>1066</v>
      </c>
      <c r="P475" s="17" t="s">
        <v>148</v>
      </c>
      <c r="Q475" s="17" t="s">
        <v>1064</v>
      </c>
      <c r="R475" s="17" t="s">
        <v>1066</v>
      </c>
      <c r="S475" s="17" t="s">
        <v>147</v>
      </c>
      <c r="T475" s="17" t="s">
        <v>146</v>
      </c>
      <c r="U475" s="17" t="s">
        <v>251</v>
      </c>
      <c r="V475" s="17"/>
      <c r="W475" s="17"/>
    </row>
    <row r="476" spans="1:23" x14ac:dyDescent="0.45">
      <c r="A476" s="17" t="s">
        <v>1065</v>
      </c>
      <c r="B476" s="22">
        <v>46150</v>
      </c>
      <c r="C476" s="17">
        <v>151497993</v>
      </c>
      <c r="D476" s="26">
        <f>IFERROR(SUMIF(Servicios_Promotores!$B:$B,C476,Servicios_Promotores!$R:$R),0)</f>
        <v>0</v>
      </c>
      <c r="E476" s="26">
        <f>IFERROR(SUMIF(Pago_GERE!$B:$B,C476,Pago_GERE!$R:$R),0)</f>
        <v>0</v>
      </c>
      <c r="F476" s="26">
        <f>IFERROR(SUMIF(Hoja2!$H:$H,C476,Hoja2!$U:$U),0)</f>
        <v>0</v>
      </c>
      <c r="G476" s="17" t="s">
        <v>1552</v>
      </c>
      <c r="H476" s="17"/>
      <c r="I476" s="17" t="s">
        <v>152</v>
      </c>
      <c r="J476" s="17" t="s">
        <v>165</v>
      </c>
      <c r="K476" s="17" t="s">
        <v>42</v>
      </c>
      <c r="L476" s="17">
        <v>10000064</v>
      </c>
      <c r="M476" s="17" t="s">
        <v>149</v>
      </c>
      <c r="N476" s="17">
        <v>25011339</v>
      </c>
      <c r="O476" s="17" t="s">
        <v>1067</v>
      </c>
      <c r="P476" s="17" t="s">
        <v>148</v>
      </c>
      <c r="Q476" s="17" t="s">
        <v>1064</v>
      </c>
      <c r="R476" s="17" t="s">
        <v>1067</v>
      </c>
      <c r="S476" s="17" t="s">
        <v>147</v>
      </c>
      <c r="T476" s="17" t="s">
        <v>146</v>
      </c>
      <c r="U476" s="17" t="s">
        <v>251</v>
      </c>
      <c r="V476" s="17"/>
      <c r="W476" s="17"/>
    </row>
    <row r="477" spans="1:23" x14ac:dyDescent="0.45">
      <c r="A477" s="17" t="s">
        <v>1065</v>
      </c>
      <c r="B477" s="22">
        <v>46148</v>
      </c>
      <c r="C477" s="17">
        <v>151494372</v>
      </c>
      <c r="D477" s="26">
        <f>IFERROR(SUMIF(Servicios_Promotores!$B:$B,C477,Servicios_Promotores!$R:$R),0)</f>
        <v>0</v>
      </c>
      <c r="E477" s="26">
        <f>IFERROR(SUMIF(Pago_GERE!$B:$B,C477,Pago_GERE!$R:$R),0)</f>
        <v>0</v>
      </c>
      <c r="F477" s="26">
        <f>IFERROR(SUMIF(Hoja2!$H:$H,C477,Hoja2!$U:$U),0)</f>
        <v>0</v>
      </c>
      <c r="G477" s="17" t="s">
        <v>1552</v>
      </c>
      <c r="H477" s="17"/>
      <c r="I477" s="17" t="s">
        <v>152</v>
      </c>
      <c r="J477" s="17" t="s">
        <v>151</v>
      </c>
      <c r="K477" s="17" t="s">
        <v>42</v>
      </c>
      <c r="L477" s="17">
        <v>10000064</v>
      </c>
      <c r="M477" s="17" t="s">
        <v>149</v>
      </c>
      <c r="N477" s="17">
        <v>24850620</v>
      </c>
      <c r="O477" s="17" t="s">
        <v>1066</v>
      </c>
      <c r="P477" s="17" t="s">
        <v>148</v>
      </c>
      <c r="Q477" s="17" t="s">
        <v>1064</v>
      </c>
      <c r="R477" s="17" t="s">
        <v>1066</v>
      </c>
      <c r="S477" s="17" t="s">
        <v>147</v>
      </c>
      <c r="T477" s="17" t="s">
        <v>146</v>
      </c>
      <c r="U477" s="17" t="s">
        <v>251</v>
      </c>
      <c r="V477" s="17"/>
      <c r="W477" s="17"/>
    </row>
    <row r="478" spans="1:23" x14ac:dyDescent="0.45">
      <c r="A478" s="17" t="s">
        <v>254</v>
      </c>
      <c r="B478" s="22">
        <v>46128</v>
      </c>
      <c r="C478" s="17">
        <v>151462818</v>
      </c>
      <c r="D478" s="26">
        <f>IFERROR(SUMIF(Servicios_Promotores!$B:$B,C478,Servicios_Promotores!$R:$R),0)</f>
        <v>262.99999998999999</v>
      </c>
      <c r="E478" s="26">
        <f>IFERROR(SUMIF(Pago_GERE!$B:$B,C478,Pago_GERE!$R:$R),0)</f>
        <v>187.00000001799998</v>
      </c>
      <c r="F478" s="26">
        <f>IFERROR(SUMIF(Hoja2!$H:$H,C478,Hoja2!$U:$U),0)</f>
        <v>0</v>
      </c>
      <c r="G478" s="17" t="s">
        <v>1552</v>
      </c>
      <c r="H478" s="22">
        <v>46133</v>
      </c>
      <c r="I478" s="17" t="s">
        <v>152</v>
      </c>
      <c r="J478" s="17" t="s">
        <v>151</v>
      </c>
      <c r="K478" s="17" t="s">
        <v>42</v>
      </c>
      <c r="L478" s="17">
        <v>10000064</v>
      </c>
      <c r="M478" s="17" t="s">
        <v>149</v>
      </c>
      <c r="N478" s="17">
        <v>24338358</v>
      </c>
      <c r="O478" s="17" t="s">
        <v>477</v>
      </c>
      <c r="P478" s="17" t="s">
        <v>148</v>
      </c>
      <c r="Q478" s="17" t="s">
        <v>253</v>
      </c>
      <c r="R478" s="17" t="s">
        <v>477</v>
      </c>
      <c r="S478" s="17" t="s">
        <v>147</v>
      </c>
      <c r="T478" s="17" t="s">
        <v>146</v>
      </c>
      <c r="U478" s="17" t="s">
        <v>251</v>
      </c>
      <c r="V478" s="17" t="s">
        <v>476</v>
      </c>
      <c r="W478" s="17" t="s">
        <v>475</v>
      </c>
    </row>
    <row r="479" spans="1:23" x14ac:dyDescent="0.45">
      <c r="A479" s="17" t="s">
        <v>254</v>
      </c>
      <c r="B479" s="22">
        <v>46116</v>
      </c>
      <c r="C479" s="17">
        <v>151440807</v>
      </c>
      <c r="D479" s="26">
        <f>IFERROR(SUMIF(Servicios_Promotores!$B:$B,C479,Servicios_Promotores!$R:$R),0)</f>
        <v>334.66500000050002</v>
      </c>
      <c r="E479" s="26">
        <f>IFERROR(SUMIF(Pago_GERE!$B:$B,C479,Pago_GERE!$R:$R),0)</f>
        <v>258.66500002849995</v>
      </c>
      <c r="F479" s="26">
        <f>IFERROR(SUMIF(Hoja2!$H:$H,C479,Hoja2!$U:$U),0)</f>
        <v>0</v>
      </c>
      <c r="G479" s="17" t="s">
        <v>1552</v>
      </c>
      <c r="H479" s="22">
        <v>46118</v>
      </c>
      <c r="I479" s="17" t="s">
        <v>163</v>
      </c>
      <c r="J479" s="17" t="s">
        <v>151</v>
      </c>
      <c r="K479" s="17" t="s">
        <v>42</v>
      </c>
      <c r="L479" s="17">
        <v>10000064</v>
      </c>
      <c r="M479" s="17" t="s">
        <v>149</v>
      </c>
      <c r="N479" s="17">
        <v>24030778</v>
      </c>
      <c r="O479" s="17" t="s">
        <v>417</v>
      </c>
      <c r="P479" s="17" t="s">
        <v>148</v>
      </c>
      <c r="Q479" s="17" t="s">
        <v>253</v>
      </c>
      <c r="R479" s="17" t="s">
        <v>417</v>
      </c>
      <c r="S479" s="17" t="s">
        <v>147</v>
      </c>
      <c r="T479" s="17" t="s">
        <v>146</v>
      </c>
      <c r="U479" s="17" t="s">
        <v>251</v>
      </c>
      <c r="V479" s="17" t="s">
        <v>416</v>
      </c>
      <c r="W479" s="17" t="s">
        <v>415</v>
      </c>
    </row>
    <row r="480" spans="1:23" x14ac:dyDescent="0.45">
      <c r="A480" s="17" t="s">
        <v>254</v>
      </c>
      <c r="B480" s="22">
        <v>46114</v>
      </c>
      <c r="C480" s="17">
        <v>151437536</v>
      </c>
      <c r="D480" s="26">
        <f>IFERROR(SUMIF(Servicios_Promotores!$B:$B,C480,Servicios_Promotores!$R:$R),0)</f>
        <v>334.66500000050002</v>
      </c>
      <c r="E480" s="26">
        <f>IFERROR(SUMIF(Pago_GERE!$B:$B,C480,Pago_GERE!$R:$R),0)</f>
        <v>258.66500002849995</v>
      </c>
      <c r="F480" s="26">
        <f>IFERROR(SUMIF(Hoja2!$H:$H,C480,Hoja2!$U:$U),0)</f>
        <v>0</v>
      </c>
      <c r="G480" s="17" t="s">
        <v>1552</v>
      </c>
      <c r="H480" s="22">
        <v>46115</v>
      </c>
      <c r="I480" s="17" t="s">
        <v>197</v>
      </c>
      <c r="J480" s="17" t="s">
        <v>151</v>
      </c>
      <c r="K480" s="17" t="s">
        <v>36</v>
      </c>
      <c r="L480" s="17">
        <v>10000064</v>
      </c>
      <c r="M480" s="17" t="s">
        <v>149</v>
      </c>
      <c r="N480" s="17">
        <v>23999326</v>
      </c>
      <c r="O480" s="17" t="s">
        <v>402</v>
      </c>
      <c r="P480" s="17" t="s">
        <v>403</v>
      </c>
      <c r="Q480" s="17" t="s">
        <v>253</v>
      </c>
      <c r="R480" s="17" t="s">
        <v>402</v>
      </c>
      <c r="S480" s="17" t="s">
        <v>147</v>
      </c>
      <c r="T480" s="17" t="s">
        <v>173</v>
      </c>
      <c r="U480" s="17" t="s">
        <v>251</v>
      </c>
      <c r="V480" s="17" t="s">
        <v>401</v>
      </c>
      <c r="W480" s="17" t="s">
        <v>400</v>
      </c>
    </row>
    <row r="481" spans="1:23" x14ac:dyDescent="0.45">
      <c r="A481" s="17" t="s">
        <v>254</v>
      </c>
      <c r="B481" s="22">
        <v>46156</v>
      </c>
      <c r="C481" s="17">
        <v>151507530</v>
      </c>
      <c r="D481" s="26">
        <f>IFERROR(SUMIF(Servicios_Promotores!$B:$B,C481,Servicios_Promotores!$R:$R),0)</f>
        <v>262.99999998999999</v>
      </c>
      <c r="E481" s="26">
        <f>IFERROR(SUMIF(Pago_GERE!$B:$B,C481,Pago_GERE!$R:$R),0)</f>
        <v>187.000000005</v>
      </c>
      <c r="F481" s="26">
        <f>IFERROR(SUMIF(Hoja2!$H:$H,C481,Hoja2!$U:$U),0)</f>
        <v>0</v>
      </c>
      <c r="G481" s="17" t="s">
        <v>1552</v>
      </c>
      <c r="H481" s="22">
        <v>46160</v>
      </c>
      <c r="I481" s="17" t="s">
        <v>152</v>
      </c>
      <c r="J481" s="17" t="s">
        <v>165</v>
      </c>
      <c r="K481" s="17" t="s">
        <v>42</v>
      </c>
      <c r="L481" s="17">
        <v>10000064</v>
      </c>
      <c r="M481" s="17" t="s">
        <v>149</v>
      </c>
      <c r="N481" s="17">
        <v>25179692</v>
      </c>
      <c r="O481" s="17" t="s">
        <v>376</v>
      </c>
      <c r="P481" s="17" t="s">
        <v>148</v>
      </c>
      <c r="Q481" s="17" t="s">
        <v>253</v>
      </c>
      <c r="R481" s="17" t="s">
        <v>376</v>
      </c>
      <c r="S481" s="17" t="s">
        <v>147</v>
      </c>
      <c r="T481" s="17" t="s">
        <v>146</v>
      </c>
      <c r="U481" s="17" t="s">
        <v>251</v>
      </c>
      <c r="V481" s="17" t="s">
        <v>375</v>
      </c>
      <c r="W481" s="17" t="s">
        <v>374</v>
      </c>
    </row>
    <row r="482" spans="1:23" x14ac:dyDescent="0.45">
      <c r="A482" s="17" t="s">
        <v>254</v>
      </c>
      <c r="B482" s="22">
        <v>46157</v>
      </c>
      <c r="C482" s="17">
        <v>151509618</v>
      </c>
      <c r="D482" s="26">
        <f>IFERROR(SUMIF(Servicios_Promotores!$B:$B,C482,Servicios_Promotores!$R:$R),0)</f>
        <v>262.99999998999999</v>
      </c>
      <c r="E482" s="26">
        <f>IFERROR(SUMIF(Pago_GERE!$B:$B,C482,Pago_GERE!$R:$R),0)</f>
        <v>187.000000005</v>
      </c>
      <c r="F482" s="26">
        <f>IFERROR(SUMIF(Hoja2!$H:$H,C482,Hoja2!$U:$U),0)</f>
        <v>0</v>
      </c>
      <c r="G482" s="17" t="s">
        <v>1552</v>
      </c>
      <c r="H482" s="22">
        <v>46160</v>
      </c>
      <c r="I482" s="17" t="s">
        <v>163</v>
      </c>
      <c r="J482" s="17" t="s">
        <v>151</v>
      </c>
      <c r="K482" s="17" t="s">
        <v>62</v>
      </c>
      <c r="L482" s="17">
        <v>10000064</v>
      </c>
      <c r="M482" s="17" t="s">
        <v>149</v>
      </c>
      <c r="N482" s="17">
        <v>25160946</v>
      </c>
      <c r="O482" s="17" t="s">
        <v>372</v>
      </c>
      <c r="P482" s="17" t="s">
        <v>188</v>
      </c>
      <c r="Q482" s="17" t="s">
        <v>253</v>
      </c>
      <c r="R482" s="17" t="s">
        <v>372</v>
      </c>
      <c r="S482" s="17" t="s">
        <v>147</v>
      </c>
      <c r="T482" s="17" t="s">
        <v>187</v>
      </c>
      <c r="U482" s="17" t="s">
        <v>251</v>
      </c>
      <c r="V482" s="17" t="s">
        <v>371</v>
      </c>
      <c r="W482" s="17" t="s">
        <v>370</v>
      </c>
    </row>
    <row r="483" spans="1:23" x14ac:dyDescent="0.45">
      <c r="A483" s="17" t="s">
        <v>254</v>
      </c>
      <c r="B483" s="22">
        <v>46157</v>
      </c>
      <c r="C483" s="17">
        <v>151509658</v>
      </c>
      <c r="D483" s="26">
        <f>IFERROR(SUMIF(Servicios_Promotores!$B:$B,C483,Servicios_Promotores!$R:$R),0)</f>
        <v>262.99999998999999</v>
      </c>
      <c r="E483" s="26">
        <f>IFERROR(SUMIF(Pago_GERE!$B:$B,C483,Pago_GERE!$R:$R),0)</f>
        <v>187.000000005</v>
      </c>
      <c r="F483" s="26">
        <f>IFERROR(SUMIF(Hoja2!$H:$H,C483,Hoja2!$U:$U),0)</f>
        <v>0</v>
      </c>
      <c r="G483" s="17" t="s">
        <v>1552</v>
      </c>
      <c r="H483" s="22">
        <v>46160</v>
      </c>
      <c r="I483" s="17" t="s">
        <v>152</v>
      </c>
      <c r="J483" s="17" t="s">
        <v>151</v>
      </c>
      <c r="K483" s="17" t="s">
        <v>42</v>
      </c>
      <c r="L483" s="17">
        <v>10000064</v>
      </c>
      <c r="M483" s="17" t="s">
        <v>149</v>
      </c>
      <c r="N483" s="17">
        <v>25152448</v>
      </c>
      <c r="O483" s="17" t="s">
        <v>360</v>
      </c>
      <c r="P483" s="17" t="s">
        <v>148</v>
      </c>
      <c r="Q483" s="17" t="s">
        <v>253</v>
      </c>
      <c r="R483" s="17" t="s">
        <v>360</v>
      </c>
      <c r="S483" s="17" t="s">
        <v>147</v>
      </c>
      <c r="T483" s="17" t="s">
        <v>146</v>
      </c>
      <c r="U483" s="17" t="s">
        <v>251</v>
      </c>
      <c r="V483" s="17" t="s">
        <v>344</v>
      </c>
      <c r="W483" s="17" t="s">
        <v>341</v>
      </c>
    </row>
    <row r="484" spans="1:23" x14ac:dyDescent="0.45">
      <c r="A484" s="17" t="s">
        <v>254</v>
      </c>
      <c r="B484" s="22">
        <v>46157</v>
      </c>
      <c r="C484" s="17">
        <v>151509675</v>
      </c>
      <c r="D484" s="26">
        <f>IFERROR(SUMIF(Servicios_Promotores!$B:$B,C484,Servicios_Promotores!$R:$R),0)</f>
        <v>262.99999998999999</v>
      </c>
      <c r="E484" s="26">
        <f>IFERROR(SUMIF(Pago_GERE!$B:$B,C484,Pago_GERE!$R:$R),0)</f>
        <v>187.000000005</v>
      </c>
      <c r="F484" s="26">
        <f>IFERROR(SUMIF(Hoja2!$H:$H,C484,Hoja2!$U:$U),0)</f>
        <v>0</v>
      </c>
      <c r="G484" s="17" t="s">
        <v>1552</v>
      </c>
      <c r="H484" s="22">
        <v>46160</v>
      </c>
      <c r="I484" s="17" t="s">
        <v>152</v>
      </c>
      <c r="J484" s="17" t="s">
        <v>151</v>
      </c>
      <c r="K484" s="17" t="s">
        <v>62</v>
      </c>
      <c r="L484" s="17">
        <v>10000064</v>
      </c>
      <c r="M484" s="17" t="s">
        <v>149</v>
      </c>
      <c r="N484" s="17">
        <v>25164802</v>
      </c>
      <c r="O484" s="17" t="s">
        <v>354</v>
      </c>
      <c r="P484" s="17" t="s">
        <v>188</v>
      </c>
      <c r="Q484" s="17" t="s">
        <v>253</v>
      </c>
      <c r="R484" s="17" t="s">
        <v>354</v>
      </c>
      <c r="S484" s="17" t="s">
        <v>147</v>
      </c>
      <c r="T484" s="17" t="s">
        <v>187</v>
      </c>
      <c r="U484" s="17" t="s">
        <v>251</v>
      </c>
      <c r="V484" s="17" t="s">
        <v>339</v>
      </c>
      <c r="W484" s="17" t="s">
        <v>338</v>
      </c>
    </row>
    <row r="485" spans="1:23" x14ac:dyDescent="0.45">
      <c r="A485" s="17" t="s">
        <v>254</v>
      </c>
      <c r="B485" s="22">
        <v>46161</v>
      </c>
      <c r="C485" s="17">
        <v>151513703</v>
      </c>
      <c r="D485" s="26">
        <f>IFERROR(SUMIF(Servicios_Promotores!$B:$B,C485,Servicios_Promotores!$R:$R),0)</f>
        <v>0</v>
      </c>
      <c r="E485" s="26">
        <f>IFERROR(SUMIF(Pago_GERE!$B:$B,C485,Pago_GERE!$R:$R),0)</f>
        <v>0</v>
      </c>
      <c r="F485" s="26">
        <f>IFERROR(SUMIF(Hoja2!$H:$H,C485,Hoja2!$U:$U),0)</f>
        <v>0</v>
      </c>
      <c r="G485" s="17" t="s">
        <v>1552</v>
      </c>
      <c r="H485" s="22">
        <v>46161</v>
      </c>
      <c r="I485" s="17" t="s">
        <v>163</v>
      </c>
      <c r="J485" s="17" t="s">
        <v>151</v>
      </c>
      <c r="K485" s="17" t="s">
        <v>42</v>
      </c>
      <c r="L485" s="17">
        <v>10000064</v>
      </c>
      <c r="M485" s="17" t="s">
        <v>149</v>
      </c>
      <c r="N485" s="17">
        <v>25193117</v>
      </c>
      <c r="O485" s="17" t="s">
        <v>345</v>
      </c>
      <c r="P485" s="17" t="s">
        <v>148</v>
      </c>
      <c r="Q485" s="17" t="s">
        <v>253</v>
      </c>
      <c r="R485" s="17" t="s">
        <v>345</v>
      </c>
      <c r="S485" s="17" t="s">
        <v>147</v>
      </c>
      <c r="T485" s="17" t="s">
        <v>146</v>
      </c>
      <c r="U485" s="17" t="s">
        <v>251</v>
      </c>
      <c r="V485" s="17" t="s">
        <v>344</v>
      </c>
      <c r="W485" s="17" t="s">
        <v>341</v>
      </c>
    </row>
    <row r="486" spans="1:23" x14ac:dyDescent="0.45">
      <c r="A486" s="17" t="s">
        <v>254</v>
      </c>
      <c r="B486" s="22">
        <v>46161</v>
      </c>
      <c r="C486" s="17">
        <v>151513724</v>
      </c>
      <c r="D486" s="26">
        <f>IFERROR(SUMIF(Servicios_Promotores!$B:$B,C486,Servicios_Promotores!$R:$R),0)</f>
        <v>0</v>
      </c>
      <c r="E486" s="26">
        <f>IFERROR(SUMIF(Pago_GERE!$B:$B,C486,Pago_GERE!$R:$R),0)</f>
        <v>0</v>
      </c>
      <c r="F486" s="26">
        <f>IFERROR(SUMIF(Hoja2!$H:$H,C486,Hoja2!$U:$U),0)</f>
        <v>0</v>
      </c>
      <c r="G486" s="17" t="s">
        <v>1552</v>
      </c>
      <c r="H486" s="22">
        <v>46161</v>
      </c>
      <c r="I486" s="17" t="s">
        <v>163</v>
      </c>
      <c r="J486" s="17" t="s">
        <v>151</v>
      </c>
      <c r="K486" s="17" t="s">
        <v>42</v>
      </c>
      <c r="L486" s="17">
        <v>10000064</v>
      </c>
      <c r="M486" s="17" t="s">
        <v>149</v>
      </c>
      <c r="N486" s="17">
        <v>25193362</v>
      </c>
      <c r="O486" s="17" t="s">
        <v>343</v>
      </c>
      <c r="P486" s="17" t="s">
        <v>148</v>
      </c>
      <c r="Q486" s="17" t="s">
        <v>253</v>
      </c>
      <c r="R486" s="17" t="s">
        <v>343</v>
      </c>
      <c r="S486" s="17" t="s">
        <v>147</v>
      </c>
      <c r="T486" s="17" t="s">
        <v>146</v>
      </c>
      <c r="U486" s="17" t="s">
        <v>251</v>
      </c>
      <c r="V486" s="17" t="s">
        <v>342</v>
      </c>
      <c r="W486" s="17" t="s">
        <v>341</v>
      </c>
    </row>
    <row r="487" spans="1:23" x14ac:dyDescent="0.45">
      <c r="A487" s="17" t="s">
        <v>254</v>
      </c>
      <c r="B487" s="22">
        <v>46162</v>
      </c>
      <c r="C487" s="17">
        <v>151516997</v>
      </c>
      <c r="D487" s="26">
        <f>IFERROR(SUMIF(Servicios_Promotores!$B:$B,C487,Servicios_Promotores!$R:$R),0)</f>
        <v>0</v>
      </c>
      <c r="E487" s="26">
        <f>IFERROR(SUMIF(Pago_GERE!$B:$B,C487,Pago_GERE!$R:$R),0)</f>
        <v>0</v>
      </c>
      <c r="F487" s="26">
        <f>IFERROR(SUMIF(Hoja2!$H:$H,C487,Hoja2!$U:$U),0)</f>
        <v>0</v>
      </c>
      <c r="G487" s="17" t="s">
        <v>1552</v>
      </c>
      <c r="H487" s="22">
        <v>46167</v>
      </c>
      <c r="I487" s="17" t="s">
        <v>152</v>
      </c>
      <c r="J487" s="17" t="s">
        <v>165</v>
      </c>
      <c r="K487" s="17" t="s">
        <v>42</v>
      </c>
      <c r="L487" s="17">
        <v>10000064</v>
      </c>
      <c r="M487" s="17" t="s">
        <v>149</v>
      </c>
      <c r="N487" s="17">
        <v>25322024</v>
      </c>
      <c r="O487" s="17" t="s">
        <v>330</v>
      </c>
      <c r="P487" s="17" t="s">
        <v>148</v>
      </c>
      <c r="Q487" s="17" t="s">
        <v>253</v>
      </c>
      <c r="R487" s="17" t="s">
        <v>330</v>
      </c>
      <c r="S487" s="17" t="s">
        <v>147</v>
      </c>
      <c r="T487" s="17" t="s">
        <v>146</v>
      </c>
      <c r="U487" s="17" t="s">
        <v>251</v>
      </c>
      <c r="V487" s="17"/>
      <c r="W487" s="17"/>
    </row>
    <row r="488" spans="1:23" x14ac:dyDescent="0.45">
      <c r="A488" s="17" t="s">
        <v>254</v>
      </c>
      <c r="B488" s="22">
        <v>46162</v>
      </c>
      <c r="C488" s="17">
        <v>151515633</v>
      </c>
      <c r="D488" s="26">
        <f>IFERROR(SUMIF(Servicios_Promotores!$B:$B,C488,Servicios_Promotores!$R:$R),0)</f>
        <v>0</v>
      </c>
      <c r="E488" s="26">
        <f>IFERROR(SUMIF(Pago_GERE!$B:$B,C488,Pago_GERE!$R:$R),0)</f>
        <v>0</v>
      </c>
      <c r="F488" s="26">
        <f>IFERROR(SUMIF(Hoja2!$H:$H,C488,Hoja2!$U:$U),0)</f>
        <v>0</v>
      </c>
      <c r="G488" s="17" t="s">
        <v>1552</v>
      </c>
      <c r="H488" s="22">
        <v>46167</v>
      </c>
      <c r="I488" s="17" t="s">
        <v>152</v>
      </c>
      <c r="J488" s="17" t="s">
        <v>165</v>
      </c>
      <c r="K488" s="17" t="s">
        <v>42</v>
      </c>
      <c r="L488" s="17">
        <v>10000064</v>
      </c>
      <c r="M488" s="17" t="s">
        <v>149</v>
      </c>
      <c r="N488" s="17">
        <v>25321991</v>
      </c>
      <c r="O488" s="17" t="s">
        <v>329</v>
      </c>
      <c r="P488" s="17" t="s">
        <v>148</v>
      </c>
      <c r="Q488" s="17" t="s">
        <v>253</v>
      </c>
      <c r="R488" s="17" t="s">
        <v>329</v>
      </c>
      <c r="S488" s="17" t="s">
        <v>147</v>
      </c>
      <c r="T488" s="17" t="s">
        <v>146</v>
      </c>
      <c r="U488" s="17" t="s">
        <v>251</v>
      </c>
      <c r="V488" s="17"/>
      <c r="W488" s="17"/>
    </row>
    <row r="489" spans="1:23" x14ac:dyDescent="0.45">
      <c r="A489" s="17" t="s">
        <v>254</v>
      </c>
      <c r="B489" s="22">
        <v>46154</v>
      </c>
      <c r="C489" s="17">
        <v>151503589</v>
      </c>
      <c r="D489" s="26">
        <f>IFERROR(SUMIF(Servicios_Promotores!$B:$B,C489,Servicios_Promotores!$R:$R),0)</f>
        <v>262.99999998999999</v>
      </c>
      <c r="E489" s="26">
        <f>IFERROR(SUMIF(Pago_GERE!$B:$B,C489,Pago_GERE!$R:$R),0)</f>
        <v>187.000000005</v>
      </c>
      <c r="F489" s="26">
        <f>IFERROR(SUMIF(Hoja2!$H:$H,C489,Hoja2!$U:$U),0)</f>
        <v>0</v>
      </c>
      <c r="G489" s="17" t="s">
        <v>1552</v>
      </c>
      <c r="H489" s="22">
        <v>46160</v>
      </c>
      <c r="I489" s="17" t="s">
        <v>152</v>
      </c>
      <c r="J489" s="17" t="s">
        <v>165</v>
      </c>
      <c r="K489" s="17" t="s">
        <v>42</v>
      </c>
      <c r="L489" s="17">
        <v>10000064</v>
      </c>
      <c r="M489" s="17" t="s">
        <v>149</v>
      </c>
      <c r="N489" s="17">
        <v>25179654</v>
      </c>
      <c r="O489" s="17" t="s">
        <v>326</v>
      </c>
      <c r="P489" s="17" t="s">
        <v>148</v>
      </c>
      <c r="Q489" s="17" t="s">
        <v>253</v>
      </c>
      <c r="R489" s="17" t="s">
        <v>326</v>
      </c>
      <c r="S489" s="17" t="s">
        <v>147</v>
      </c>
      <c r="T489" s="17" t="s">
        <v>146</v>
      </c>
      <c r="U489" s="17" t="s">
        <v>251</v>
      </c>
      <c r="V489" s="17" t="s">
        <v>325</v>
      </c>
      <c r="W489" s="17" t="s">
        <v>324</v>
      </c>
    </row>
    <row r="490" spans="1:23" x14ac:dyDescent="0.45">
      <c r="A490" s="17"/>
      <c r="B490" s="22">
        <v>46091</v>
      </c>
      <c r="C490" s="17">
        <v>151397034</v>
      </c>
      <c r="D490" s="26">
        <f>IFERROR(SUMIF(Servicios_Promotores!$B:$B,C490,Servicios_Promotores!$R:$R),0)</f>
        <v>0</v>
      </c>
      <c r="E490" s="26">
        <f>IFERROR(SUMIF(Pago_GERE!$B:$B,C490,Pago_GERE!$R:$R),0)</f>
        <v>0</v>
      </c>
      <c r="F490" s="26">
        <f>IFERROR(SUMIF(Hoja2!$H:$H,C490,Hoja2!$U:$U),0)</f>
        <v>0</v>
      </c>
      <c r="G490" s="17" t="s">
        <v>1552</v>
      </c>
      <c r="H490" s="17"/>
      <c r="I490" s="17" t="s">
        <v>152</v>
      </c>
      <c r="J490" s="17" t="s">
        <v>165</v>
      </c>
      <c r="K490" s="17" t="s">
        <v>39</v>
      </c>
      <c r="L490" s="17">
        <v>10000064</v>
      </c>
      <c r="M490" s="17" t="s">
        <v>149</v>
      </c>
      <c r="N490" s="17">
        <v>151397034</v>
      </c>
      <c r="O490" s="17" t="s">
        <v>200</v>
      </c>
      <c r="P490" s="17" t="s">
        <v>170</v>
      </c>
      <c r="Q490" s="17"/>
      <c r="R490" s="17"/>
      <c r="S490" s="17" t="s">
        <v>147</v>
      </c>
      <c r="T490" s="17" t="s">
        <v>169</v>
      </c>
      <c r="U490" s="17" t="s">
        <v>182</v>
      </c>
      <c r="V490" s="17"/>
      <c r="W490" s="17"/>
    </row>
    <row r="491" spans="1:23" x14ac:dyDescent="0.45">
      <c r="A491" s="17"/>
      <c r="B491" s="22">
        <v>46090</v>
      </c>
      <c r="C491" s="17">
        <v>151394921</v>
      </c>
      <c r="D491" s="26">
        <f>IFERROR(SUMIF(Servicios_Promotores!$B:$B,C491,Servicios_Promotores!$R:$R),0)</f>
        <v>0</v>
      </c>
      <c r="E491" s="26">
        <f>IFERROR(SUMIF(Pago_GERE!$B:$B,C491,Pago_GERE!$R:$R),0)</f>
        <v>0</v>
      </c>
      <c r="F491" s="26">
        <f>IFERROR(SUMIF(Hoja2!$H:$H,C491,Hoja2!$U:$U),0)</f>
        <v>0</v>
      </c>
      <c r="G491" s="17" t="s">
        <v>1552</v>
      </c>
      <c r="H491" s="17"/>
      <c r="I491" s="17" t="s">
        <v>163</v>
      </c>
      <c r="J491" s="17" t="s">
        <v>151</v>
      </c>
      <c r="K491" s="17" t="s">
        <v>62</v>
      </c>
      <c r="L491" s="17">
        <v>10000064</v>
      </c>
      <c r="M491" s="17" t="s">
        <v>149</v>
      </c>
      <c r="N491" s="17">
        <v>151394921</v>
      </c>
      <c r="O491" s="17"/>
      <c r="P491" s="17" t="s">
        <v>188</v>
      </c>
      <c r="Q491" s="17"/>
      <c r="R491" s="17"/>
      <c r="S491" s="17" t="s">
        <v>147</v>
      </c>
      <c r="T491" s="17" t="s">
        <v>187</v>
      </c>
      <c r="U491" s="17" t="s">
        <v>182</v>
      </c>
      <c r="V491" s="17"/>
      <c r="W491" s="17"/>
    </row>
    <row r="492" spans="1:23" x14ac:dyDescent="0.45">
      <c r="A492" s="17"/>
      <c r="B492" s="22">
        <v>46083</v>
      </c>
      <c r="C492" s="17">
        <v>151382160</v>
      </c>
      <c r="D492" s="26">
        <f>IFERROR(SUMIF(Servicios_Promotores!$B:$B,C492,Servicios_Promotores!$R:$R),0)</f>
        <v>0</v>
      </c>
      <c r="E492" s="26">
        <f>IFERROR(SUMIF(Pago_GERE!$B:$B,C492,Pago_GERE!$R:$R),0)</f>
        <v>0</v>
      </c>
      <c r="F492" s="26">
        <f>IFERROR(SUMIF(Hoja2!$H:$H,C492,Hoja2!$U:$U),0)</f>
        <v>0</v>
      </c>
      <c r="G492" s="17" t="s">
        <v>1552</v>
      </c>
      <c r="H492" s="17"/>
      <c r="I492" s="17" t="s">
        <v>152</v>
      </c>
      <c r="J492" s="17" t="s">
        <v>165</v>
      </c>
      <c r="K492" s="17" t="s">
        <v>62</v>
      </c>
      <c r="L492" s="17">
        <v>10000064</v>
      </c>
      <c r="M492" s="17" t="s">
        <v>149</v>
      </c>
      <c r="N492" s="17">
        <v>151382160</v>
      </c>
      <c r="O492" s="17" t="s">
        <v>189</v>
      </c>
      <c r="P492" s="17" t="s">
        <v>188</v>
      </c>
      <c r="Q492" s="17"/>
      <c r="R492" s="17"/>
      <c r="S492" s="17" t="s">
        <v>147</v>
      </c>
      <c r="T492" s="17" t="s">
        <v>187</v>
      </c>
      <c r="U492" s="17" t="s">
        <v>182</v>
      </c>
      <c r="V492" s="17"/>
      <c r="W492" s="17"/>
    </row>
    <row r="493" spans="1:23" x14ac:dyDescent="0.45">
      <c r="A493" s="17"/>
      <c r="B493" s="22">
        <v>46119</v>
      </c>
      <c r="C493" s="17">
        <v>151446000</v>
      </c>
      <c r="D493" s="26">
        <f>IFERROR(SUMIF(Servicios_Promotores!$B:$B,C493,Servicios_Promotores!$R:$R),0)</f>
        <v>0</v>
      </c>
      <c r="E493" s="26">
        <f>IFERROR(SUMIF(Pago_GERE!$B:$B,C493,Pago_GERE!$R:$R),0)</f>
        <v>0</v>
      </c>
      <c r="F493" s="26">
        <f>IFERROR(SUMIF(Hoja2!$H:$H,C493,Hoja2!$U:$U),0)</f>
        <v>0</v>
      </c>
      <c r="G493" s="17" t="s">
        <v>1552</v>
      </c>
      <c r="H493" s="17"/>
      <c r="I493" s="17" t="s">
        <v>163</v>
      </c>
      <c r="J493" s="17" t="s">
        <v>151</v>
      </c>
      <c r="K493" s="17" t="s">
        <v>36</v>
      </c>
      <c r="L493" s="17">
        <v>10000064</v>
      </c>
      <c r="M493" s="17" t="s">
        <v>149</v>
      </c>
      <c r="N493" s="17">
        <v>151446000</v>
      </c>
      <c r="O493" s="17"/>
      <c r="P493" s="17" t="s">
        <v>174</v>
      </c>
      <c r="Q493" s="17"/>
      <c r="R493" s="17"/>
      <c r="S493" s="17" t="s">
        <v>147</v>
      </c>
      <c r="T493" s="17" t="s">
        <v>173</v>
      </c>
      <c r="U493" s="17" t="s">
        <v>172</v>
      </c>
      <c r="V493" s="17"/>
      <c r="W493" s="17"/>
    </row>
    <row r="494" spans="1:23" x14ac:dyDescent="0.45">
      <c r="A494" s="17"/>
      <c r="B494" s="22">
        <v>46155</v>
      </c>
      <c r="C494" s="17">
        <v>151505818</v>
      </c>
      <c r="D494" s="26">
        <f>IFERROR(SUMIF(Servicios_Promotores!$B:$B,C494,Servicios_Promotores!$R:$R),0)</f>
        <v>0</v>
      </c>
      <c r="E494" s="26">
        <f>IFERROR(SUMIF(Pago_GERE!$B:$B,C494,Pago_GERE!$R:$R),0)</f>
        <v>0</v>
      </c>
      <c r="F494" s="26">
        <f>IFERROR(SUMIF(Hoja2!$H:$H,C494,Hoja2!$U:$U),0)</f>
        <v>0</v>
      </c>
      <c r="G494" s="17" t="s">
        <v>1552</v>
      </c>
      <c r="H494" s="17"/>
      <c r="I494" s="17" t="s">
        <v>152</v>
      </c>
      <c r="J494" s="17" t="s">
        <v>165</v>
      </c>
      <c r="K494" s="17" t="s">
        <v>39</v>
      </c>
      <c r="L494" s="17">
        <v>10000064</v>
      </c>
      <c r="M494" s="17" t="s">
        <v>149</v>
      </c>
      <c r="N494" s="17">
        <v>151505818</v>
      </c>
      <c r="O494" s="17" t="s">
        <v>171</v>
      </c>
      <c r="P494" s="17" t="s">
        <v>170</v>
      </c>
      <c r="Q494" s="17"/>
      <c r="R494" s="17"/>
      <c r="S494" s="17" t="s">
        <v>147</v>
      </c>
      <c r="T494" s="17" t="s">
        <v>169</v>
      </c>
      <c r="U494" s="17" t="s">
        <v>145</v>
      </c>
      <c r="V494" s="17"/>
      <c r="W494" s="17"/>
    </row>
    <row r="495" spans="1:23" x14ac:dyDescent="0.45">
      <c r="A495" s="17"/>
      <c r="B495" s="22">
        <v>46155</v>
      </c>
      <c r="C495" s="17">
        <v>151505593</v>
      </c>
      <c r="D495" s="26">
        <f>IFERROR(SUMIF(Servicios_Promotores!$B:$B,C495,Servicios_Promotores!$R:$R),0)</f>
        <v>0</v>
      </c>
      <c r="E495" s="26">
        <f>IFERROR(SUMIF(Pago_GERE!$B:$B,C495,Pago_GERE!$R:$R),0)</f>
        <v>0</v>
      </c>
      <c r="F495" s="26">
        <f>IFERROR(SUMIF(Hoja2!$H:$H,C495,Hoja2!$U:$U),0)</f>
        <v>0</v>
      </c>
      <c r="G495" s="17" t="s">
        <v>1552</v>
      </c>
      <c r="H495" s="17"/>
      <c r="I495" s="17" t="s">
        <v>163</v>
      </c>
      <c r="J495" s="17" t="s">
        <v>151</v>
      </c>
      <c r="K495" s="17" t="s">
        <v>39</v>
      </c>
      <c r="L495" s="17">
        <v>10000064</v>
      </c>
      <c r="M495" s="17" t="s">
        <v>149</v>
      </c>
      <c r="N495" s="17">
        <v>151505593</v>
      </c>
      <c r="O495" s="17"/>
      <c r="P495" s="17" t="s">
        <v>160</v>
      </c>
      <c r="Q495" s="17"/>
      <c r="R495" s="17"/>
      <c r="S495" s="17" t="s">
        <v>147</v>
      </c>
      <c r="T495" s="17" t="s">
        <v>159</v>
      </c>
      <c r="U495" s="17" t="s">
        <v>145</v>
      </c>
      <c r="V495" s="17"/>
      <c r="W495" s="17"/>
    </row>
    <row r="496" spans="1:23" x14ac:dyDescent="0.45">
      <c r="A496" s="17"/>
      <c r="B496" s="22">
        <v>46156</v>
      </c>
      <c r="C496" s="17">
        <v>151507584</v>
      </c>
      <c r="D496" s="26">
        <f>IFERROR(SUMIF(Servicios_Promotores!$B:$B,C496,Servicios_Promotores!$R:$R),0)</f>
        <v>0</v>
      </c>
      <c r="E496" s="26">
        <f>IFERROR(SUMIF(Pago_GERE!$B:$B,C496,Pago_GERE!$R:$R),0)</f>
        <v>0</v>
      </c>
      <c r="F496" s="26">
        <f>IFERROR(SUMIF(Hoja2!$H:$H,C496,Hoja2!$U:$U),0)</f>
        <v>0</v>
      </c>
      <c r="G496" s="17" t="s">
        <v>1552</v>
      </c>
      <c r="H496" s="17"/>
      <c r="I496" s="17" t="s">
        <v>152</v>
      </c>
      <c r="J496" s="17" t="s">
        <v>151</v>
      </c>
      <c r="K496" s="17" t="s">
        <v>62</v>
      </c>
      <c r="L496" s="17">
        <v>10000064</v>
      </c>
      <c r="M496" s="17" t="s">
        <v>149</v>
      </c>
      <c r="N496" s="17">
        <v>151507584</v>
      </c>
      <c r="O496" s="17"/>
      <c r="P496" s="17" t="s">
        <v>168</v>
      </c>
      <c r="Q496" s="17"/>
      <c r="R496" s="17"/>
      <c r="S496" s="17" t="s">
        <v>147</v>
      </c>
      <c r="T496" s="17" t="s">
        <v>167</v>
      </c>
      <c r="U496" s="17" t="s">
        <v>166</v>
      </c>
      <c r="V496" s="17"/>
      <c r="W496" s="17"/>
    </row>
    <row r="497" spans="1:23" x14ac:dyDescent="0.45">
      <c r="A497" s="17"/>
      <c r="B497" s="22">
        <v>46162</v>
      </c>
      <c r="C497" s="17">
        <v>151517063</v>
      </c>
      <c r="D497" s="26">
        <f>IFERROR(SUMIF(Servicios_Promotores!$B:$B,C497,Servicios_Promotores!$R:$R),0)</f>
        <v>0</v>
      </c>
      <c r="E497" s="26">
        <f>IFERROR(SUMIF(Pago_GERE!$B:$B,C497,Pago_GERE!$R:$R),0)</f>
        <v>0</v>
      </c>
      <c r="F497" s="26">
        <f>IFERROR(SUMIF(Hoja2!$H:$H,C497,Hoja2!$U:$U),0)</f>
        <v>0</v>
      </c>
      <c r="G497" s="17" t="s">
        <v>1552</v>
      </c>
      <c r="H497" s="17"/>
      <c r="I497" s="17" t="s">
        <v>152</v>
      </c>
      <c r="J497" s="17" t="s">
        <v>165</v>
      </c>
      <c r="K497" s="17" t="s">
        <v>42</v>
      </c>
      <c r="L497" s="17">
        <v>10000064</v>
      </c>
      <c r="M497" s="17" t="s">
        <v>149</v>
      </c>
      <c r="N497" s="17">
        <v>151517063</v>
      </c>
      <c r="O497" s="17" t="s">
        <v>164</v>
      </c>
      <c r="P497" s="17" t="s">
        <v>148</v>
      </c>
      <c r="Q497" s="17"/>
      <c r="R497" s="17"/>
      <c r="S497" s="17" t="s">
        <v>147</v>
      </c>
      <c r="T497" s="17" t="s">
        <v>146</v>
      </c>
      <c r="U497" s="17" t="s">
        <v>145</v>
      </c>
      <c r="V497" s="17"/>
      <c r="W497" s="17"/>
    </row>
    <row r="498" spans="1:23" x14ac:dyDescent="0.45">
      <c r="A498" s="17"/>
      <c r="B498" s="22">
        <v>46162</v>
      </c>
      <c r="C498" s="17">
        <v>151517020</v>
      </c>
      <c r="D498" s="26">
        <f>IFERROR(SUMIF(Servicios_Promotores!$B:$B,C498,Servicios_Promotores!$R:$R),0)</f>
        <v>0</v>
      </c>
      <c r="E498" s="26">
        <f>IFERROR(SUMIF(Pago_GERE!$B:$B,C498,Pago_GERE!$R:$R),0)</f>
        <v>0</v>
      </c>
      <c r="F498" s="26">
        <f>IFERROR(SUMIF(Hoja2!$H:$H,C498,Hoja2!$U:$U),0)</f>
        <v>0</v>
      </c>
      <c r="G498" s="17" t="s">
        <v>1552</v>
      </c>
      <c r="H498" s="17"/>
      <c r="I498" s="17" t="s">
        <v>152</v>
      </c>
      <c r="J498" s="17" t="s">
        <v>165</v>
      </c>
      <c r="K498" s="17" t="s">
        <v>42</v>
      </c>
      <c r="L498" s="17">
        <v>10000064</v>
      </c>
      <c r="M498" s="17" t="s">
        <v>149</v>
      </c>
      <c r="N498" s="17">
        <v>151517020</v>
      </c>
      <c r="O498" s="17" t="s">
        <v>164</v>
      </c>
      <c r="P498" s="17" t="s">
        <v>148</v>
      </c>
      <c r="Q498" s="17"/>
      <c r="R498" s="17"/>
      <c r="S498" s="17" t="s">
        <v>147</v>
      </c>
      <c r="T498" s="17" t="s">
        <v>146</v>
      </c>
      <c r="U498" s="17" t="s">
        <v>145</v>
      </c>
      <c r="V498" s="17"/>
      <c r="W498" s="17"/>
    </row>
    <row r="499" spans="1:23" x14ac:dyDescent="0.45">
      <c r="A499" s="17"/>
      <c r="B499" s="22">
        <v>46153</v>
      </c>
      <c r="C499" s="17">
        <v>151500304</v>
      </c>
      <c r="D499" s="26">
        <f>IFERROR(SUMIF(Servicios_Promotores!$B:$B,C499,Servicios_Promotores!$R:$R),0)</f>
        <v>0</v>
      </c>
      <c r="E499" s="26">
        <f>IFERROR(SUMIF(Pago_GERE!$B:$B,C499,Pago_GERE!$R:$R),0)</f>
        <v>0</v>
      </c>
      <c r="F499" s="26">
        <f>IFERROR(SUMIF(Hoja2!$H:$H,C499,Hoja2!$U:$U),0)</f>
        <v>0</v>
      </c>
      <c r="G499" s="17" t="s">
        <v>1552</v>
      </c>
      <c r="H499" s="17"/>
      <c r="I499" s="17" t="s">
        <v>152</v>
      </c>
      <c r="J499" s="17" t="s">
        <v>151</v>
      </c>
      <c r="K499" s="17" t="s">
        <v>42</v>
      </c>
      <c r="L499" s="17">
        <v>10000064</v>
      </c>
      <c r="M499" s="17" t="s">
        <v>149</v>
      </c>
      <c r="N499" s="17">
        <v>151500304</v>
      </c>
      <c r="O499" s="17"/>
      <c r="P499" s="17" t="s">
        <v>148</v>
      </c>
      <c r="Q499" s="17"/>
      <c r="R499" s="17"/>
      <c r="S499" s="17" t="s">
        <v>147</v>
      </c>
      <c r="T499" s="17" t="s">
        <v>146</v>
      </c>
      <c r="U499" s="17" t="s">
        <v>145</v>
      </c>
      <c r="V499" s="17"/>
      <c r="W499" s="17"/>
    </row>
    <row r="500" spans="1:23" x14ac:dyDescent="0.45">
      <c r="A500" s="17" t="s">
        <v>254</v>
      </c>
      <c r="B500" s="22">
        <v>46072</v>
      </c>
      <c r="C500" s="17">
        <v>151362611</v>
      </c>
      <c r="D500" s="26">
        <f>IFERROR(SUMIF(Servicios_Promotores!$B:$B,C500,Servicios_Promotores!$R:$R),0)</f>
        <v>0</v>
      </c>
      <c r="E500" s="26">
        <f>IFERROR(SUMIF(Pago_GERE!$B:$B,C500,Pago_GERE!$R:$R),0)</f>
        <v>0</v>
      </c>
      <c r="F500" s="26">
        <f>IFERROR(SUMIF(Hoja2!$H:$H,C500,Hoja2!$U:$U),0)</f>
        <v>0</v>
      </c>
      <c r="G500" s="17" t="str">
        <f>IFERROR(VLOOKUP(C500,Hoja3!$C:$D,2,FALSE),"")</f>
        <v>KIARA AQUINO</v>
      </c>
      <c r="H500" s="22">
        <v>46073</v>
      </c>
      <c r="I500" s="17" t="s">
        <v>163</v>
      </c>
      <c r="J500" s="17" t="s">
        <v>151</v>
      </c>
      <c r="K500" s="17" t="s">
        <v>42</v>
      </c>
      <c r="L500" s="17">
        <v>10000064</v>
      </c>
      <c r="M500" s="17" t="s">
        <v>218</v>
      </c>
      <c r="N500" s="17">
        <v>22485191</v>
      </c>
      <c r="O500" s="17" t="s">
        <v>787</v>
      </c>
      <c r="P500" s="17" t="s">
        <v>148</v>
      </c>
      <c r="Q500" s="17" t="s">
        <v>253</v>
      </c>
      <c r="R500" s="17" t="s">
        <v>787</v>
      </c>
      <c r="S500" s="17" t="s">
        <v>147</v>
      </c>
      <c r="T500" s="17" t="s">
        <v>146</v>
      </c>
      <c r="U500" s="17" t="s">
        <v>251</v>
      </c>
      <c r="V500" s="17" t="s">
        <v>786</v>
      </c>
      <c r="W500" s="17" t="s">
        <v>361</v>
      </c>
    </row>
    <row r="501" spans="1:23" x14ac:dyDescent="0.45">
      <c r="A501" s="17" t="s">
        <v>254</v>
      </c>
      <c r="B501" s="22">
        <v>46067</v>
      </c>
      <c r="C501" s="17">
        <v>151353056</v>
      </c>
      <c r="D501" s="26">
        <f>IFERROR(SUMIF(Servicios_Promotores!$B:$B,C501,Servicios_Promotores!$R:$R),0)</f>
        <v>0</v>
      </c>
      <c r="E501" s="26">
        <f>IFERROR(SUMIF(Pago_GERE!$B:$B,C501,Pago_GERE!$R:$R),0)</f>
        <v>0</v>
      </c>
      <c r="F501" s="26">
        <f>IFERROR(SUMIF(Hoja2!$H:$H,C501,Hoja2!$U:$U),0)</f>
        <v>1253</v>
      </c>
      <c r="G501" s="17" t="str">
        <f>IFERROR(VLOOKUP(C501,Hoja3!$C:$D,2,FALSE),"")</f>
        <v>KIARA AQUINO</v>
      </c>
      <c r="H501" s="22">
        <v>46069</v>
      </c>
      <c r="I501" s="17" t="s">
        <v>209</v>
      </c>
      <c r="J501" s="17" t="s">
        <v>151</v>
      </c>
      <c r="K501" s="17" t="s">
        <v>62</v>
      </c>
      <c r="L501" s="17">
        <v>10000064</v>
      </c>
      <c r="M501" s="17" t="s">
        <v>218</v>
      </c>
      <c r="N501" s="17">
        <v>22381498</v>
      </c>
      <c r="O501" s="17" t="s">
        <v>760</v>
      </c>
      <c r="P501" s="17" t="s">
        <v>188</v>
      </c>
      <c r="Q501" s="17" t="s">
        <v>253</v>
      </c>
      <c r="R501" s="17" t="s">
        <v>760</v>
      </c>
      <c r="S501" s="17" t="s">
        <v>147</v>
      </c>
      <c r="T501" s="17" t="s">
        <v>187</v>
      </c>
      <c r="U501" s="17" t="s">
        <v>251</v>
      </c>
      <c r="V501" s="17" t="s">
        <v>759</v>
      </c>
      <c r="W501" s="17" t="s">
        <v>610</v>
      </c>
    </row>
    <row r="502" spans="1:23" x14ac:dyDescent="0.45">
      <c r="A502" s="17" t="s">
        <v>254</v>
      </c>
      <c r="B502" s="22">
        <v>46076</v>
      </c>
      <c r="C502" s="17">
        <v>151368785</v>
      </c>
      <c r="D502" s="26">
        <f>IFERROR(SUMIF(Servicios_Promotores!$B:$B,C502,Servicios_Promotores!$R:$R),0)</f>
        <v>299.99999997499998</v>
      </c>
      <c r="E502" s="26">
        <f>IFERROR(SUMIF(Pago_GERE!$B:$B,C502,Pago_GERE!$R:$R),0)</f>
        <v>200.000000005</v>
      </c>
      <c r="F502" s="26">
        <f>IFERROR(SUMIF(Hoja2!$H:$H,C502,Hoja2!$U:$U),0)</f>
        <v>0</v>
      </c>
      <c r="G502" s="17" t="str">
        <f>IFERROR(VLOOKUP(C502,Hoja3!$C:$D,2,FALSE),"")</f>
        <v>KRISTOFER</v>
      </c>
      <c r="H502" s="22">
        <v>46083</v>
      </c>
      <c r="I502" s="17" t="s">
        <v>152</v>
      </c>
      <c r="J502" s="17" t="s">
        <v>165</v>
      </c>
      <c r="K502" s="17" t="s">
        <v>42</v>
      </c>
      <c r="L502" s="17">
        <v>10001013</v>
      </c>
      <c r="M502" s="17" t="s">
        <v>207</v>
      </c>
      <c r="N502" s="17">
        <v>22555692</v>
      </c>
      <c r="O502" s="17" t="s">
        <v>821</v>
      </c>
      <c r="P502" s="17" t="s">
        <v>367</v>
      </c>
      <c r="Q502" s="17" t="s">
        <v>253</v>
      </c>
      <c r="R502" s="17" t="s">
        <v>821</v>
      </c>
      <c r="S502" s="17" t="s">
        <v>147</v>
      </c>
      <c r="T502" s="17" t="s">
        <v>223</v>
      </c>
      <c r="U502" s="17" t="s">
        <v>251</v>
      </c>
      <c r="V502" s="17" t="s">
        <v>820</v>
      </c>
      <c r="W502" s="17" t="s">
        <v>819</v>
      </c>
    </row>
    <row r="503" spans="1:23" x14ac:dyDescent="0.45">
      <c r="A503" s="17" t="s">
        <v>254</v>
      </c>
      <c r="B503" s="22">
        <v>46074</v>
      </c>
      <c r="C503" s="17">
        <v>151365816</v>
      </c>
      <c r="D503" s="26">
        <f>IFERROR(SUMIF(Servicios_Promotores!$B:$B,C503,Servicios_Promotores!$R:$R),0)</f>
        <v>0</v>
      </c>
      <c r="E503" s="26">
        <f>IFERROR(SUMIF(Pago_GERE!$B:$B,C503,Pago_GERE!$R:$R),0)</f>
        <v>0</v>
      </c>
      <c r="F503" s="26">
        <f>IFERROR(SUMIF(Hoja2!$H:$H,C503,Hoja2!$U:$U),0)</f>
        <v>0</v>
      </c>
      <c r="G503" s="17" t="str">
        <f>IFERROR(VLOOKUP(C503,Hoja3!$C:$D,2,FALSE),"")</f>
        <v>KRISTOFER</v>
      </c>
      <c r="H503" s="22">
        <v>46079</v>
      </c>
      <c r="I503" s="17" t="s">
        <v>158</v>
      </c>
      <c r="J503" s="17" t="s">
        <v>151</v>
      </c>
      <c r="K503" s="17" t="s">
        <v>42</v>
      </c>
      <c r="L503" s="17">
        <v>10001013</v>
      </c>
      <c r="M503" s="17" t="s">
        <v>207</v>
      </c>
      <c r="N503" s="17">
        <v>22524369</v>
      </c>
      <c r="O503" s="17" t="s">
        <v>805</v>
      </c>
      <c r="P503" s="17"/>
      <c r="Q503" s="17" t="s">
        <v>253</v>
      </c>
      <c r="R503" s="17" t="s">
        <v>805</v>
      </c>
      <c r="S503" s="17" t="s">
        <v>155</v>
      </c>
      <c r="T503" s="17"/>
      <c r="U503" s="17" t="s">
        <v>251</v>
      </c>
      <c r="V503" s="17" t="s">
        <v>804</v>
      </c>
      <c r="W503" s="17" t="s">
        <v>803</v>
      </c>
    </row>
    <row r="504" spans="1:23" x14ac:dyDescent="0.45">
      <c r="A504" s="17" t="s">
        <v>254</v>
      </c>
      <c r="B504" s="22">
        <v>46073</v>
      </c>
      <c r="C504" s="17">
        <v>151364767</v>
      </c>
      <c r="D504" s="26">
        <f>IFERROR(SUMIF(Servicios_Promotores!$B:$B,C504,Servicios_Promotores!$R:$R),0)</f>
        <v>49.999999998</v>
      </c>
      <c r="E504" s="26">
        <f>IFERROR(SUMIF(Pago_GERE!$B:$B,C504,Pago_GERE!$R:$R),0)</f>
        <v>49.999999998</v>
      </c>
      <c r="F504" s="26">
        <f>IFERROR(SUMIF(Hoja2!$H:$H,C504,Hoja2!$U:$U),0)</f>
        <v>0</v>
      </c>
      <c r="G504" s="17" t="str">
        <f>IFERROR(VLOOKUP(C504,Hoja3!$C:$D,2,FALSE),"")</f>
        <v>KRISTOFER</v>
      </c>
      <c r="H504" s="22">
        <v>46083</v>
      </c>
      <c r="I504" s="17" t="s">
        <v>152</v>
      </c>
      <c r="J504" s="17" t="s">
        <v>165</v>
      </c>
      <c r="K504" s="17" t="s">
        <v>39</v>
      </c>
      <c r="L504" s="17">
        <v>10001013</v>
      </c>
      <c r="M504" s="17" t="s">
        <v>207</v>
      </c>
      <c r="N504" s="17">
        <v>22720293</v>
      </c>
      <c r="O504" s="17" t="s">
        <v>796</v>
      </c>
      <c r="P504" s="17" t="s">
        <v>160</v>
      </c>
      <c r="Q504" s="17" t="s">
        <v>253</v>
      </c>
      <c r="R504" s="17" t="s">
        <v>796</v>
      </c>
      <c r="S504" s="17" t="s">
        <v>147</v>
      </c>
      <c r="T504" s="17" t="s">
        <v>159</v>
      </c>
      <c r="U504" s="17" t="s">
        <v>251</v>
      </c>
      <c r="V504" s="17" t="s">
        <v>795</v>
      </c>
      <c r="W504" s="17" t="s">
        <v>794</v>
      </c>
    </row>
    <row r="505" spans="1:23" x14ac:dyDescent="0.45">
      <c r="A505" s="17"/>
      <c r="B505" s="22">
        <v>46074</v>
      </c>
      <c r="C505" s="17">
        <v>151365858</v>
      </c>
      <c r="D505" s="26">
        <f>IFERROR(SUMIF(Servicios_Promotores!$B:$B,C505,Servicios_Promotores!$R:$R),0)</f>
        <v>0</v>
      </c>
      <c r="E505" s="26">
        <f>IFERROR(SUMIF(Pago_GERE!$B:$B,C505,Pago_GERE!$R:$R),0)</f>
        <v>0</v>
      </c>
      <c r="F505" s="26">
        <f>IFERROR(SUMIF(Hoja2!$H:$H,C505,Hoja2!$U:$U),0)</f>
        <v>0</v>
      </c>
      <c r="G505" s="17" t="str">
        <f>IFERROR(VLOOKUP(C505,Hoja3!$C:$D,2,FALSE),"")</f>
        <v>KRISTOFER</v>
      </c>
      <c r="H505" s="17"/>
      <c r="I505" s="17" t="s">
        <v>220</v>
      </c>
      <c r="J505" s="17" t="s">
        <v>151</v>
      </c>
      <c r="K505" s="17" t="s">
        <v>39</v>
      </c>
      <c r="L505" s="17">
        <v>10001013</v>
      </c>
      <c r="M505" s="17" t="s">
        <v>207</v>
      </c>
      <c r="N505" s="17">
        <v>151365858</v>
      </c>
      <c r="O505" s="17"/>
      <c r="P505" s="17" t="s">
        <v>160</v>
      </c>
      <c r="Q505" s="17"/>
      <c r="R505" s="17"/>
      <c r="S505" s="17" t="s">
        <v>155</v>
      </c>
      <c r="T505" s="17" t="s">
        <v>159</v>
      </c>
      <c r="U505" s="17" t="s">
        <v>182</v>
      </c>
      <c r="V505" s="17" t="s">
        <v>210</v>
      </c>
      <c r="W505" s="17"/>
    </row>
    <row r="506" spans="1:23" x14ac:dyDescent="0.45">
      <c r="A506" s="17" t="s">
        <v>1065</v>
      </c>
      <c r="B506" s="22">
        <v>46076</v>
      </c>
      <c r="C506" s="17">
        <v>151368492</v>
      </c>
      <c r="D506" s="26">
        <f>IFERROR(SUMIF(Servicios_Promotores!$B:$B,C506,Servicios_Promotores!$R:$R),0)</f>
        <v>0</v>
      </c>
      <c r="E506" s="26">
        <f>IFERROR(SUMIF(Pago_GERE!$B:$B,C506,Pago_GERE!$R:$R),0)</f>
        <v>0</v>
      </c>
      <c r="F506" s="26">
        <f>IFERROR(SUMIF(Hoja2!$H:$H,C506,Hoja2!$U:$U),0)</f>
        <v>0</v>
      </c>
      <c r="G506" s="17" t="str">
        <f>IFERROR(VLOOKUP(C506,Hoja3!$C:$D,2,FALSE),"")</f>
        <v>KRISTOFER</v>
      </c>
      <c r="H506" s="17"/>
      <c r="I506" s="17" t="s">
        <v>152</v>
      </c>
      <c r="J506" s="17" t="s">
        <v>165</v>
      </c>
      <c r="K506" s="17" t="s">
        <v>42</v>
      </c>
      <c r="L506" s="17">
        <v>10000064</v>
      </c>
      <c r="M506" s="17" t="s">
        <v>181</v>
      </c>
      <c r="N506" s="17">
        <v>22549240</v>
      </c>
      <c r="O506" s="17" t="s">
        <v>1123</v>
      </c>
      <c r="P506" s="17" t="s">
        <v>224</v>
      </c>
      <c r="Q506" s="17" t="s">
        <v>1064</v>
      </c>
      <c r="R506" s="17" t="s">
        <v>1123</v>
      </c>
      <c r="S506" s="17" t="s">
        <v>147</v>
      </c>
      <c r="T506" s="17" t="s">
        <v>223</v>
      </c>
      <c r="U506" s="17" t="s">
        <v>251</v>
      </c>
      <c r="V506" s="17"/>
      <c r="W506" s="17"/>
    </row>
    <row r="507" spans="1:23" x14ac:dyDescent="0.45">
      <c r="A507" s="17" t="s">
        <v>254</v>
      </c>
      <c r="B507" s="22">
        <v>46076</v>
      </c>
      <c r="C507" s="17">
        <v>151368590</v>
      </c>
      <c r="D507" s="26">
        <f>IFERROR(SUMIF(Servicios_Promotores!$B:$B,C507,Servicios_Promotores!$R:$R),0)</f>
        <v>49.999999998</v>
      </c>
      <c r="E507" s="26">
        <f>IFERROR(SUMIF(Pago_GERE!$B:$B,C507,Pago_GERE!$R:$R),0)</f>
        <v>49.999999998</v>
      </c>
      <c r="F507" s="26">
        <f>IFERROR(SUMIF(Hoja2!$H:$H,C507,Hoja2!$U:$U),0)</f>
        <v>0</v>
      </c>
      <c r="G507" s="17" t="str">
        <f>IFERROR(VLOOKUP(C507,Hoja3!$C:$D,2,FALSE),"")</f>
        <v>KRISTOFER</v>
      </c>
      <c r="H507" s="22">
        <v>46080</v>
      </c>
      <c r="I507" s="17" t="s">
        <v>197</v>
      </c>
      <c r="J507" s="17" t="s">
        <v>165</v>
      </c>
      <c r="K507" s="17" t="s">
        <v>55</v>
      </c>
      <c r="L507" s="17">
        <v>10000064</v>
      </c>
      <c r="M507" s="17" t="s">
        <v>181</v>
      </c>
      <c r="N507" s="17">
        <v>22640228</v>
      </c>
      <c r="O507" s="17" t="s">
        <v>813</v>
      </c>
      <c r="P507" s="17" t="s">
        <v>534</v>
      </c>
      <c r="Q507" s="17" t="s">
        <v>253</v>
      </c>
      <c r="R507" s="17" t="s">
        <v>813</v>
      </c>
      <c r="S507" s="17" t="s">
        <v>147</v>
      </c>
      <c r="T507" s="17" t="s">
        <v>55</v>
      </c>
      <c r="U507" s="17" t="s">
        <v>251</v>
      </c>
      <c r="V507" s="17" t="s">
        <v>812</v>
      </c>
      <c r="W507" s="17" t="s">
        <v>811</v>
      </c>
    </row>
    <row r="508" spans="1:23" x14ac:dyDescent="0.45">
      <c r="A508" s="17" t="s">
        <v>1065</v>
      </c>
      <c r="B508" s="22">
        <v>46073</v>
      </c>
      <c r="C508" s="17">
        <v>151364543</v>
      </c>
      <c r="D508" s="26">
        <f>IFERROR(SUMIF(Servicios_Promotores!$B:$B,C508,Servicios_Promotores!$R:$R),0)</f>
        <v>0</v>
      </c>
      <c r="E508" s="26">
        <f>IFERROR(SUMIF(Pago_GERE!$B:$B,C508,Pago_GERE!$R:$R),0)</f>
        <v>0</v>
      </c>
      <c r="F508" s="26">
        <f>IFERROR(SUMIF(Hoja2!$H:$H,C508,Hoja2!$U:$U),0)</f>
        <v>0</v>
      </c>
      <c r="G508" s="17" t="str">
        <f>IFERROR(VLOOKUP(C508,Hoja3!$C:$D,2,FALSE),"")</f>
        <v>KRISTOFER</v>
      </c>
      <c r="H508" s="17"/>
      <c r="I508" s="17" t="s">
        <v>158</v>
      </c>
      <c r="J508" s="17" t="s">
        <v>151</v>
      </c>
      <c r="K508" s="17" t="s">
        <v>45</v>
      </c>
      <c r="L508" s="17">
        <v>10000064</v>
      </c>
      <c r="M508" s="17" t="s">
        <v>211</v>
      </c>
      <c r="N508" s="17">
        <v>22499840</v>
      </c>
      <c r="O508" s="17" t="s">
        <v>1066</v>
      </c>
      <c r="P508" s="17" t="s">
        <v>1122</v>
      </c>
      <c r="Q508" s="17" t="s">
        <v>1064</v>
      </c>
      <c r="R508" s="17" t="s">
        <v>1066</v>
      </c>
      <c r="S508" s="17" t="s">
        <v>155</v>
      </c>
      <c r="T508" s="17" t="s">
        <v>961</v>
      </c>
      <c r="U508" s="17" t="s">
        <v>251</v>
      </c>
      <c r="V508" s="17" t="s">
        <v>210</v>
      </c>
      <c r="W508" s="17"/>
    </row>
    <row r="509" spans="1:23" x14ac:dyDescent="0.45">
      <c r="A509" s="17" t="s">
        <v>254</v>
      </c>
      <c r="B509" s="22">
        <v>46074</v>
      </c>
      <c r="C509" s="17">
        <v>151365764</v>
      </c>
      <c r="D509" s="26">
        <f>IFERROR(SUMIF(Servicios_Promotores!$B:$B,C509,Servicios_Promotores!$R:$R),0)</f>
        <v>0</v>
      </c>
      <c r="E509" s="26">
        <f>IFERROR(SUMIF(Pago_GERE!$B:$B,C509,Pago_GERE!$R:$R),0)</f>
        <v>0</v>
      </c>
      <c r="F509" s="26">
        <f>IFERROR(SUMIF(Hoja2!$H:$H,C509,Hoja2!$U:$U),0)</f>
        <v>1375</v>
      </c>
      <c r="G509" s="17" t="str">
        <f>IFERROR(VLOOKUP(C509,Hoja3!$C:$D,2,FALSE),"")</f>
        <v>KRISTOFER</v>
      </c>
      <c r="H509" s="22">
        <v>46085</v>
      </c>
      <c r="I509" s="17" t="s">
        <v>204</v>
      </c>
      <c r="J509" s="17" t="s">
        <v>151</v>
      </c>
      <c r="K509" s="17" t="s">
        <v>101</v>
      </c>
      <c r="L509" s="17">
        <v>10000064</v>
      </c>
      <c r="M509" s="17" t="s">
        <v>211</v>
      </c>
      <c r="N509" s="17">
        <v>22519592</v>
      </c>
      <c r="O509" s="17" t="s">
        <v>809</v>
      </c>
      <c r="P509" s="17" t="s">
        <v>156</v>
      </c>
      <c r="Q509" s="17" t="s">
        <v>253</v>
      </c>
      <c r="R509" s="17" t="s">
        <v>809</v>
      </c>
      <c r="S509" s="17" t="s">
        <v>155</v>
      </c>
      <c r="T509" s="17" t="s">
        <v>154</v>
      </c>
      <c r="U509" s="17" t="s">
        <v>251</v>
      </c>
      <c r="V509" s="17" t="s">
        <v>442</v>
      </c>
      <c r="W509" s="17" t="s">
        <v>441</v>
      </c>
    </row>
    <row r="510" spans="1:23" x14ac:dyDescent="0.45">
      <c r="A510" s="17" t="s">
        <v>254</v>
      </c>
      <c r="B510" s="22">
        <v>46074</v>
      </c>
      <c r="C510" s="17">
        <v>151365830</v>
      </c>
      <c r="D510" s="26">
        <f>IFERROR(SUMIF(Servicios_Promotores!$B:$B,C510,Servicios_Promotores!$R:$R),0)</f>
        <v>49.999999998</v>
      </c>
      <c r="E510" s="26">
        <f>IFERROR(SUMIF(Pago_GERE!$B:$B,C510,Pago_GERE!$R:$R),0)</f>
        <v>49.999999998</v>
      </c>
      <c r="F510" s="26">
        <f>IFERROR(SUMIF(Hoja2!$H:$H,C510,Hoja2!$U:$U),0)</f>
        <v>0</v>
      </c>
      <c r="G510" s="17" t="str">
        <f>IFERROR(VLOOKUP(C510,Hoja3!$C:$D,2,FALSE),"")</f>
        <v>KRISTOFER</v>
      </c>
      <c r="H510" s="22">
        <v>46080</v>
      </c>
      <c r="I510" s="17" t="s">
        <v>152</v>
      </c>
      <c r="J510" s="17" t="s">
        <v>165</v>
      </c>
      <c r="K510" s="17" t="s">
        <v>61</v>
      </c>
      <c r="L510" s="17">
        <v>10000064</v>
      </c>
      <c r="M510" s="17" t="s">
        <v>211</v>
      </c>
      <c r="N510" s="17">
        <v>22640192</v>
      </c>
      <c r="O510" s="17" t="s">
        <v>808</v>
      </c>
      <c r="P510" s="17" t="s">
        <v>202</v>
      </c>
      <c r="Q510" s="17" t="s">
        <v>253</v>
      </c>
      <c r="R510" s="17" t="s">
        <v>808</v>
      </c>
      <c r="S510" s="17" t="s">
        <v>147</v>
      </c>
      <c r="T510" s="17" t="s">
        <v>201</v>
      </c>
      <c r="U510" s="17" t="s">
        <v>251</v>
      </c>
      <c r="V510" s="17" t="s">
        <v>807</v>
      </c>
      <c r="W510" s="17" t="s">
        <v>806</v>
      </c>
    </row>
    <row r="511" spans="1:23" x14ac:dyDescent="0.45">
      <c r="A511" s="17" t="s">
        <v>254</v>
      </c>
      <c r="B511" s="22">
        <v>46074</v>
      </c>
      <c r="C511" s="17">
        <v>151365726</v>
      </c>
      <c r="D511" s="26">
        <f>IFERROR(SUMIF(Servicios_Promotores!$B:$B,C511,Servicios_Promotores!$R:$R),0)</f>
        <v>49.999999998</v>
      </c>
      <c r="E511" s="26">
        <f>IFERROR(SUMIF(Pago_GERE!$B:$B,C511,Pago_GERE!$R:$R),0)</f>
        <v>49.999999998</v>
      </c>
      <c r="F511" s="26">
        <f>IFERROR(SUMIF(Hoja2!$H:$H,C511,Hoja2!$U:$U),0)</f>
        <v>0</v>
      </c>
      <c r="G511" s="17" t="str">
        <f>IFERROR(VLOOKUP(C511,Hoja3!$C:$D,2,FALSE),"")</f>
        <v>KRISTOFER</v>
      </c>
      <c r="H511" s="22">
        <v>46086</v>
      </c>
      <c r="I511" s="17" t="s">
        <v>152</v>
      </c>
      <c r="J511" s="17" t="s">
        <v>165</v>
      </c>
      <c r="K511" s="17" t="s">
        <v>61</v>
      </c>
      <c r="L511" s="17">
        <v>10000064</v>
      </c>
      <c r="M511" s="17" t="s">
        <v>211</v>
      </c>
      <c r="N511" s="17">
        <v>22797314</v>
      </c>
      <c r="O511" s="17" t="s">
        <v>802</v>
      </c>
      <c r="P511" s="17" t="s">
        <v>202</v>
      </c>
      <c r="Q511" s="17" t="s">
        <v>253</v>
      </c>
      <c r="R511" s="17" t="s">
        <v>802</v>
      </c>
      <c r="S511" s="17" t="s">
        <v>147</v>
      </c>
      <c r="T511" s="17" t="s">
        <v>201</v>
      </c>
      <c r="U511" s="17" t="s">
        <v>251</v>
      </c>
      <c r="V511" s="17" t="s">
        <v>801</v>
      </c>
      <c r="W511" s="17" t="s">
        <v>800</v>
      </c>
    </row>
    <row r="512" spans="1:23" x14ac:dyDescent="0.45">
      <c r="A512" s="17" t="s">
        <v>254</v>
      </c>
      <c r="B512" s="22">
        <v>46073</v>
      </c>
      <c r="C512" s="17">
        <v>151364624</v>
      </c>
      <c r="D512" s="26">
        <f>IFERROR(SUMIF(Servicios_Promotores!$B:$B,C512,Servicios_Promotores!$R:$R),0)</f>
        <v>75.000000009999994</v>
      </c>
      <c r="E512" s="26">
        <f>IFERROR(SUMIF(Pago_GERE!$B:$B,C512,Pago_GERE!$R:$R),0)</f>
        <v>75.000000009999994</v>
      </c>
      <c r="F512" s="26">
        <f>IFERROR(SUMIF(Hoja2!$H:$H,C512,Hoja2!$U:$U),0)</f>
        <v>0</v>
      </c>
      <c r="G512" s="17" t="str">
        <f>IFERROR(VLOOKUP(C512,Hoja3!$C:$D,2,FALSE),"")</f>
        <v>KRISTOFER</v>
      </c>
      <c r="H512" s="22">
        <v>46079</v>
      </c>
      <c r="I512" s="17" t="s">
        <v>152</v>
      </c>
      <c r="J512" s="17" t="s">
        <v>165</v>
      </c>
      <c r="K512" s="17" t="s">
        <v>42</v>
      </c>
      <c r="L512" s="17">
        <v>10000064</v>
      </c>
      <c r="M512" s="17" t="s">
        <v>211</v>
      </c>
      <c r="N512" s="17">
        <v>22615535</v>
      </c>
      <c r="O512" s="17" t="s">
        <v>793</v>
      </c>
      <c r="P512" s="17" t="s">
        <v>148</v>
      </c>
      <c r="Q512" s="17" t="s">
        <v>253</v>
      </c>
      <c r="R512" s="17" t="s">
        <v>793</v>
      </c>
      <c r="S512" s="17" t="s">
        <v>147</v>
      </c>
      <c r="T512" s="17" t="s">
        <v>146</v>
      </c>
      <c r="U512" s="17" t="s">
        <v>251</v>
      </c>
      <c r="V512" s="17" t="s">
        <v>502</v>
      </c>
      <c r="W512" s="17" t="s">
        <v>501</v>
      </c>
    </row>
    <row r="513" spans="1:23" x14ac:dyDescent="0.45">
      <c r="A513" s="17" t="s">
        <v>254</v>
      </c>
      <c r="B513" s="22">
        <v>46073</v>
      </c>
      <c r="C513" s="17">
        <v>151364662</v>
      </c>
      <c r="D513" s="26">
        <f>IFERROR(SUMIF(Servicios_Promotores!$B:$B,C513,Servicios_Promotores!$R:$R),0)</f>
        <v>0</v>
      </c>
      <c r="E513" s="26">
        <f>IFERROR(SUMIF(Pago_GERE!$B:$B,C513,Pago_GERE!$R:$R),0)</f>
        <v>0</v>
      </c>
      <c r="F513" s="26">
        <f>IFERROR(SUMIF(Hoja2!$H:$H,C513,Hoja2!$U:$U),0)</f>
        <v>0</v>
      </c>
      <c r="G513" s="17" t="str">
        <f>IFERROR(VLOOKUP(C513,Hoja3!$C:$D,2,FALSE),"")</f>
        <v>KRISTOFER</v>
      </c>
      <c r="H513" s="22">
        <v>46078</v>
      </c>
      <c r="I513" s="17" t="s">
        <v>152</v>
      </c>
      <c r="J513" s="17" t="s">
        <v>165</v>
      </c>
      <c r="K513" s="17" t="s">
        <v>42</v>
      </c>
      <c r="L513" s="17">
        <v>10000064</v>
      </c>
      <c r="M513" s="17" t="s">
        <v>211</v>
      </c>
      <c r="N513" s="17">
        <v>22594309</v>
      </c>
      <c r="O513" s="17" t="s">
        <v>792</v>
      </c>
      <c r="P513" s="17" t="s">
        <v>148</v>
      </c>
      <c r="Q513" s="17" t="s">
        <v>253</v>
      </c>
      <c r="R513" s="17" t="s">
        <v>792</v>
      </c>
      <c r="S513" s="17" t="s">
        <v>147</v>
      </c>
      <c r="T513" s="17" t="s">
        <v>146</v>
      </c>
      <c r="U513" s="17" t="s">
        <v>251</v>
      </c>
      <c r="V513" s="17" t="s">
        <v>791</v>
      </c>
      <c r="W513" s="17" t="s">
        <v>361</v>
      </c>
    </row>
    <row r="514" spans="1:23" x14ac:dyDescent="0.45">
      <c r="A514" s="17" t="s">
        <v>254</v>
      </c>
      <c r="B514" s="22">
        <v>46076</v>
      </c>
      <c r="C514" s="17">
        <v>151368692</v>
      </c>
      <c r="D514" s="26">
        <f>IFERROR(SUMIF(Servicios_Promotores!$B:$B,C514,Servicios_Promotores!$R:$R),0)</f>
        <v>49.999999998</v>
      </c>
      <c r="E514" s="26">
        <f>IFERROR(SUMIF(Pago_GERE!$B:$B,C514,Pago_GERE!$R:$R),0)</f>
        <v>49.999999998</v>
      </c>
      <c r="F514" s="26">
        <f>IFERROR(SUMIF(Hoja2!$H:$H,C514,Hoja2!$U:$U),0)</f>
        <v>978</v>
      </c>
      <c r="G514" s="17" t="str">
        <f>IFERROR(VLOOKUP(C514,Hoja3!$C:$D,2,FALSE),"")</f>
        <v>KRISTOFER</v>
      </c>
      <c r="H514" s="22">
        <v>46078</v>
      </c>
      <c r="I514" s="17" t="s">
        <v>152</v>
      </c>
      <c r="J514" s="17" t="s">
        <v>151</v>
      </c>
      <c r="K514" s="17" t="s">
        <v>42</v>
      </c>
      <c r="L514" s="17">
        <v>10001013</v>
      </c>
      <c r="M514" s="17" t="s">
        <v>183</v>
      </c>
      <c r="N514" s="17">
        <v>22548087</v>
      </c>
      <c r="O514" s="17" t="s">
        <v>823</v>
      </c>
      <c r="P514" s="17" t="s">
        <v>224</v>
      </c>
      <c r="Q514" s="17" t="s">
        <v>253</v>
      </c>
      <c r="R514" s="17" t="s">
        <v>823</v>
      </c>
      <c r="S514" s="17" t="s">
        <v>147</v>
      </c>
      <c r="T514" s="17" t="s">
        <v>223</v>
      </c>
      <c r="U514" s="17" t="s">
        <v>251</v>
      </c>
      <c r="V514" s="17" t="s">
        <v>822</v>
      </c>
      <c r="W514" s="17" t="s">
        <v>409</v>
      </c>
    </row>
    <row r="515" spans="1:23" x14ac:dyDescent="0.45">
      <c r="A515" s="17" t="s">
        <v>1065</v>
      </c>
      <c r="B515" s="22">
        <v>46111</v>
      </c>
      <c r="C515" s="17">
        <v>151432625</v>
      </c>
      <c r="D515" s="26">
        <f>IFERROR(SUMIF(Servicios_Promotores!$B:$B,C515,Servicios_Promotores!$R:$R),0)</f>
        <v>0</v>
      </c>
      <c r="E515" s="26">
        <f>IFERROR(SUMIF(Pago_GERE!$B:$B,C515,Pago_GERE!$R:$R),0)</f>
        <v>0</v>
      </c>
      <c r="F515" s="26">
        <f>IFERROR(SUMIF(Hoja2!$H:$H,C515,Hoja2!$U:$U),0)</f>
        <v>0</v>
      </c>
      <c r="G515" s="17" t="str">
        <f>IFERROR(VLOOKUP(C515,Hoja3!$C:$D,2,FALSE),"")</f>
        <v>LEONARDO</v>
      </c>
      <c r="H515" s="17"/>
      <c r="I515" s="17" t="s">
        <v>152</v>
      </c>
      <c r="J515" s="17" t="s">
        <v>151</v>
      </c>
      <c r="K515" s="17" t="s">
        <v>39</v>
      </c>
      <c r="L515" s="17">
        <v>10000064</v>
      </c>
      <c r="M515" s="17" t="s">
        <v>181</v>
      </c>
      <c r="N515" s="17">
        <v>23952431</v>
      </c>
      <c r="O515" s="17" t="s">
        <v>1066</v>
      </c>
      <c r="P515" s="17" t="s">
        <v>170</v>
      </c>
      <c r="Q515" s="17" t="s">
        <v>1064</v>
      </c>
      <c r="R515" s="17" t="s">
        <v>1066</v>
      </c>
      <c r="S515" s="17" t="s">
        <v>147</v>
      </c>
      <c r="T515" s="17" t="s">
        <v>169</v>
      </c>
      <c r="U515" s="17" t="s">
        <v>251</v>
      </c>
      <c r="V515" s="17"/>
      <c r="W515" s="17"/>
    </row>
    <row r="516" spans="1:23" x14ac:dyDescent="0.45">
      <c r="A516" s="17" t="s">
        <v>254</v>
      </c>
      <c r="B516" s="22">
        <v>46111</v>
      </c>
      <c r="C516" s="17">
        <v>151432662</v>
      </c>
      <c r="D516" s="26">
        <f>IFERROR(SUMIF(Servicios_Promotores!$B:$B,C516,Servicios_Promotores!$R:$R),0)</f>
        <v>262.99999998999999</v>
      </c>
      <c r="E516" s="26">
        <f>IFERROR(SUMIF(Pago_GERE!$B:$B,C516,Pago_GERE!$R:$R),0)</f>
        <v>187.00000001799998</v>
      </c>
      <c r="F516" s="26">
        <f>IFERROR(SUMIF(Hoja2!$H:$H,C516,Hoja2!$U:$U),0)</f>
        <v>0</v>
      </c>
      <c r="G516" s="17" t="str">
        <f>IFERROR(VLOOKUP(C516,Hoja3!$C:$D,2,FALSE),"")</f>
        <v>LEONARDO</v>
      </c>
      <c r="H516" s="22">
        <v>46112</v>
      </c>
      <c r="I516" s="17" t="s">
        <v>215</v>
      </c>
      <c r="J516" s="17" t="s">
        <v>151</v>
      </c>
      <c r="K516" s="17" t="s">
        <v>42</v>
      </c>
      <c r="L516" s="17">
        <v>10000064</v>
      </c>
      <c r="M516" s="17" t="s">
        <v>181</v>
      </c>
      <c r="N516" s="17">
        <v>23947687</v>
      </c>
      <c r="O516" s="17" t="s">
        <v>682</v>
      </c>
      <c r="P516" s="17" t="s">
        <v>148</v>
      </c>
      <c r="Q516" s="17" t="s">
        <v>253</v>
      </c>
      <c r="R516" s="17" t="s">
        <v>682</v>
      </c>
      <c r="S516" s="17" t="s">
        <v>147</v>
      </c>
      <c r="T516" s="17" t="s">
        <v>146</v>
      </c>
      <c r="U516" s="17" t="s">
        <v>251</v>
      </c>
      <c r="V516" s="17" t="s">
        <v>681</v>
      </c>
      <c r="W516" s="17" t="s">
        <v>680</v>
      </c>
    </row>
    <row r="517" spans="1:23" x14ac:dyDescent="0.45">
      <c r="A517" s="17" t="s">
        <v>254</v>
      </c>
      <c r="B517" s="22">
        <v>46111</v>
      </c>
      <c r="C517" s="17">
        <v>151432596</v>
      </c>
      <c r="D517" s="26">
        <f>IFERROR(SUMIF(Servicios_Promotores!$B:$B,C517,Servicios_Promotores!$R:$R),0)</f>
        <v>334.66500000050002</v>
      </c>
      <c r="E517" s="26">
        <f>IFERROR(SUMIF(Pago_GERE!$B:$B,C517,Pago_GERE!$R:$R),0)</f>
        <v>258.66500002849995</v>
      </c>
      <c r="F517" s="26">
        <f>IFERROR(SUMIF(Hoja2!$H:$H,C517,Hoja2!$U:$U),0)</f>
        <v>0</v>
      </c>
      <c r="G517" s="17" t="str">
        <f>IFERROR(VLOOKUP(C517,Hoja3!$C:$D,2,FALSE),"")</f>
        <v>LEONARDO</v>
      </c>
      <c r="H517" s="22">
        <v>46113</v>
      </c>
      <c r="I517" s="17" t="s">
        <v>152</v>
      </c>
      <c r="J517" s="17" t="s">
        <v>151</v>
      </c>
      <c r="K517" s="17" t="s">
        <v>39</v>
      </c>
      <c r="L517" s="17">
        <v>10000064</v>
      </c>
      <c r="M517" s="17" t="s">
        <v>181</v>
      </c>
      <c r="N517" s="17">
        <v>23953054</v>
      </c>
      <c r="O517" s="17" t="s">
        <v>679</v>
      </c>
      <c r="P517" s="17" t="s">
        <v>170</v>
      </c>
      <c r="Q517" s="17" t="s">
        <v>253</v>
      </c>
      <c r="R517" s="17" t="s">
        <v>679</v>
      </c>
      <c r="S517" s="17" t="s">
        <v>147</v>
      </c>
      <c r="T517" s="17" t="s">
        <v>169</v>
      </c>
      <c r="U517" s="17" t="s">
        <v>251</v>
      </c>
      <c r="V517" s="17" t="s">
        <v>671</v>
      </c>
      <c r="W517" s="17" t="s">
        <v>670</v>
      </c>
    </row>
    <row r="518" spans="1:23" x14ac:dyDescent="0.45">
      <c r="A518" s="17" t="s">
        <v>254</v>
      </c>
      <c r="B518" s="22">
        <v>46119</v>
      </c>
      <c r="C518" s="17">
        <v>151445934</v>
      </c>
      <c r="D518" s="26">
        <f>IFERROR(SUMIF(Servicios_Promotores!$B:$B,C518,Servicios_Promotores!$R:$R),0)</f>
        <v>262.99999998999999</v>
      </c>
      <c r="E518" s="26">
        <f>IFERROR(SUMIF(Pago_GERE!$B:$B,C518,Pago_GERE!$R:$R),0)</f>
        <v>187.00000001799998</v>
      </c>
      <c r="F518" s="26">
        <f>IFERROR(SUMIF(Hoja2!$H:$H,C518,Hoja2!$U:$U),0)</f>
        <v>0</v>
      </c>
      <c r="G518" s="17" t="str">
        <f>IFERROR(VLOOKUP(C518,Hoja3!$C:$D,2,FALSE),"")</f>
        <v>LEONARDO</v>
      </c>
      <c r="H518" s="22">
        <v>46122</v>
      </c>
      <c r="I518" s="17" t="s">
        <v>152</v>
      </c>
      <c r="J518" s="17" t="s">
        <v>165</v>
      </c>
      <c r="K518" s="17" t="s">
        <v>36</v>
      </c>
      <c r="L518" s="17">
        <v>10000064</v>
      </c>
      <c r="M518" s="17" t="s">
        <v>181</v>
      </c>
      <c r="N518" s="17">
        <v>24151056</v>
      </c>
      <c r="O518" s="17" t="s">
        <v>435</v>
      </c>
      <c r="P518" s="17" t="s">
        <v>174</v>
      </c>
      <c r="Q518" s="17" t="s">
        <v>253</v>
      </c>
      <c r="R518" s="17" t="s">
        <v>435</v>
      </c>
      <c r="S518" s="17" t="s">
        <v>147</v>
      </c>
      <c r="T518" s="17" t="s">
        <v>173</v>
      </c>
      <c r="U518" s="17" t="s">
        <v>251</v>
      </c>
      <c r="V518" s="17" t="s">
        <v>428</v>
      </c>
      <c r="W518" s="17" t="s">
        <v>427</v>
      </c>
    </row>
    <row r="519" spans="1:23" x14ac:dyDescent="0.45">
      <c r="A519" s="17" t="s">
        <v>254</v>
      </c>
      <c r="B519" s="22">
        <v>46118</v>
      </c>
      <c r="C519" s="17">
        <v>151443758</v>
      </c>
      <c r="D519" s="26">
        <f>IFERROR(SUMIF(Servicios_Promotores!$B:$B,C519,Servicios_Promotores!$R:$R),0)</f>
        <v>262.99999998999999</v>
      </c>
      <c r="E519" s="26">
        <f>IFERROR(SUMIF(Pago_GERE!$B:$B,C519,Pago_GERE!$R:$R),0)</f>
        <v>187.00000001799998</v>
      </c>
      <c r="F519" s="26">
        <f>IFERROR(SUMIF(Hoja2!$H:$H,C519,Hoja2!$U:$U),0)</f>
        <v>1298</v>
      </c>
      <c r="G519" s="17" t="str">
        <f>IFERROR(VLOOKUP(C519,Hoja3!$C:$D,2,FALSE),"")</f>
        <v>LEONARDO</v>
      </c>
      <c r="H519" s="22">
        <v>46121</v>
      </c>
      <c r="I519" s="17" t="s">
        <v>163</v>
      </c>
      <c r="J519" s="17" t="s">
        <v>151</v>
      </c>
      <c r="K519" s="17" t="s">
        <v>42</v>
      </c>
      <c r="L519" s="17">
        <v>10000064</v>
      </c>
      <c r="M519" s="17" t="s">
        <v>181</v>
      </c>
      <c r="N519" s="17">
        <v>24075269</v>
      </c>
      <c r="O519" s="17" t="s">
        <v>434</v>
      </c>
      <c r="P519" s="17" t="s">
        <v>192</v>
      </c>
      <c r="Q519" s="17" t="s">
        <v>253</v>
      </c>
      <c r="R519" s="17" t="s">
        <v>434</v>
      </c>
      <c r="S519" s="17" t="s">
        <v>147</v>
      </c>
      <c r="T519" s="17" t="s">
        <v>146</v>
      </c>
      <c r="U519" s="17" t="s">
        <v>251</v>
      </c>
      <c r="V519" s="17" t="s">
        <v>433</v>
      </c>
      <c r="W519" s="17" t="s">
        <v>432</v>
      </c>
    </row>
    <row r="520" spans="1:23" x14ac:dyDescent="0.45">
      <c r="A520" s="17" t="s">
        <v>254</v>
      </c>
      <c r="B520" s="22">
        <v>46116</v>
      </c>
      <c r="C520" s="17">
        <v>151440354</v>
      </c>
      <c r="D520" s="26">
        <f>IFERROR(SUMIF(Servicios_Promotores!$B:$B,C520,Servicios_Promotores!$R:$R),0)</f>
        <v>262.99999998999999</v>
      </c>
      <c r="E520" s="26">
        <f>IFERROR(SUMIF(Pago_GERE!$B:$B,C520,Pago_GERE!$R:$R),0)</f>
        <v>187.00000001799998</v>
      </c>
      <c r="F520" s="26">
        <f>IFERROR(SUMIF(Hoja2!$H:$H,C520,Hoja2!$U:$U),0)</f>
        <v>0</v>
      </c>
      <c r="G520" s="17" t="str">
        <f>IFERROR(VLOOKUP(C520,Hoja3!$C:$D,2,FALSE),"")</f>
        <v>LEONARDO</v>
      </c>
      <c r="H520" s="22">
        <v>46125</v>
      </c>
      <c r="I520" s="17" t="s">
        <v>152</v>
      </c>
      <c r="J520" s="17" t="s">
        <v>151</v>
      </c>
      <c r="K520" s="17" t="s">
        <v>42</v>
      </c>
      <c r="L520" s="17">
        <v>10000064</v>
      </c>
      <c r="M520" s="17" t="s">
        <v>181</v>
      </c>
      <c r="N520" s="17">
        <v>24023004</v>
      </c>
      <c r="O520" s="17" t="s">
        <v>421</v>
      </c>
      <c r="P520" s="17" t="s">
        <v>148</v>
      </c>
      <c r="Q520" s="17" t="s">
        <v>253</v>
      </c>
      <c r="R520" s="17" t="s">
        <v>421</v>
      </c>
      <c r="S520" s="17" t="s">
        <v>147</v>
      </c>
      <c r="T520" s="17" t="s">
        <v>146</v>
      </c>
      <c r="U520" s="17" t="s">
        <v>251</v>
      </c>
      <c r="V520" s="17" t="s">
        <v>420</v>
      </c>
      <c r="W520" s="17" t="s">
        <v>321</v>
      </c>
    </row>
    <row r="521" spans="1:23" x14ac:dyDescent="0.45">
      <c r="A521" s="17" t="s">
        <v>254</v>
      </c>
      <c r="B521" s="22">
        <v>46116</v>
      </c>
      <c r="C521" s="17">
        <v>151440766</v>
      </c>
      <c r="D521" s="26">
        <f>IFERROR(SUMIF(Servicios_Promotores!$B:$B,C521,Servicios_Promotores!$R:$R),0)</f>
        <v>262.99999998999999</v>
      </c>
      <c r="E521" s="26">
        <f>IFERROR(SUMIF(Pago_GERE!$B:$B,C521,Pago_GERE!$R:$R),0)</f>
        <v>187.00000001799998</v>
      </c>
      <c r="F521" s="26">
        <f>IFERROR(SUMIF(Hoja2!$H:$H,C521,Hoja2!$U:$U),0)</f>
        <v>0</v>
      </c>
      <c r="G521" s="17" t="str">
        <f>IFERROR(VLOOKUP(C521,Hoja3!$C:$D,2,FALSE),"")</f>
        <v>LEONARDO</v>
      </c>
      <c r="H521" s="22">
        <v>46119</v>
      </c>
      <c r="I521" s="17" t="s">
        <v>163</v>
      </c>
      <c r="J521" s="17" t="s">
        <v>151</v>
      </c>
      <c r="K521" s="17" t="s">
        <v>42</v>
      </c>
      <c r="L521" s="17">
        <v>10000064</v>
      </c>
      <c r="M521" s="17" t="s">
        <v>181</v>
      </c>
      <c r="N521" s="17">
        <v>24030661</v>
      </c>
      <c r="O521" s="17" t="s">
        <v>419</v>
      </c>
      <c r="P521" s="17" t="s">
        <v>148</v>
      </c>
      <c r="Q521" s="17" t="s">
        <v>253</v>
      </c>
      <c r="R521" s="17" t="s">
        <v>419</v>
      </c>
      <c r="S521" s="17" t="s">
        <v>147</v>
      </c>
      <c r="T521" s="17" t="s">
        <v>146</v>
      </c>
      <c r="U521" s="17" t="s">
        <v>251</v>
      </c>
      <c r="V521" s="17" t="s">
        <v>418</v>
      </c>
      <c r="W521" s="17" t="s">
        <v>324</v>
      </c>
    </row>
    <row r="522" spans="1:23" x14ac:dyDescent="0.45">
      <c r="A522" s="17" t="s">
        <v>254</v>
      </c>
      <c r="B522" s="22">
        <v>46116</v>
      </c>
      <c r="C522" s="17">
        <v>151440346</v>
      </c>
      <c r="D522" s="26">
        <f>IFERROR(SUMIF(Servicios_Promotores!$B:$B,C522,Servicios_Promotores!$R:$R),0)</f>
        <v>262.99999998999999</v>
      </c>
      <c r="E522" s="26">
        <f>IFERROR(SUMIF(Pago_GERE!$B:$B,C522,Pago_GERE!$R:$R),0)</f>
        <v>187.00000001799998</v>
      </c>
      <c r="F522" s="26">
        <f>IFERROR(SUMIF(Hoja2!$H:$H,C522,Hoja2!$U:$U),0)</f>
        <v>1298</v>
      </c>
      <c r="G522" s="17" t="str">
        <f>IFERROR(VLOOKUP(C522,Hoja3!$C:$D,2,FALSE),"")</f>
        <v>LEONARDO</v>
      </c>
      <c r="H522" s="22">
        <v>46121</v>
      </c>
      <c r="I522" s="17" t="s">
        <v>163</v>
      </c>
      <c r="J522" s="17" t="s">
        <v>151</v>
      </c>
      <c r="K522" s="17" t="s">
        <v>42</v>
      </c>
      <c r="L522" s="17">
        <v>10000064</v>
      </c>
      <c r="M522" s="17" t="s">
        <v>181</v>
      </c>
      <c r="N522" s="17">
        <v>24022468</v>
      </c>
      <c r="O522" s="17" t="s">
        <v>414</v>
      </c>
      <c r="P522" s="17" t="s">
        <v>192</v>
      </c>
      <c r="Q522" s="17" t="s">
        <v>253</v>
      </c>
      <c r="R522" s="17" t="s">
        <v>414</v>
      </c>
      <c r="S522" s="17" t="s">
        <v>147</v>
      </c>
      <c r="T522" s="17" t="s">
        <v>146</v>
      </c>
      <c r="U522" s="17" t="s">
        <v>251</v>
      </c>
      <c r="V522" s="17" t="s">
        <v>413</v>
      </c>
      <c r="W522" s="17" t="s">
        <v>412</v>
      </c>
    </row>
    <row r="523" spans="1:23" x14ac:dyDescent="0.45">
      <c r="A523" s="17" t="s">
        <v>254</v>
      </c>
      <c r="B523" s="22">
        <v>46113</v>
      </c>
      <c r="C523" s="17">
        <v>151437088</v>
      </c>
      <c r="D523" s="26">
        <f>IFERROR(SUMIF(Servicios_Promotores!$B:$B,C523,Servicios_Promotores!$R:$R),0)</f>
        <v>262.99999998999999</v>
      </c>
      <c r="E523" s="26">
        <f>IFERROR(SUMIF(Pago_GERE!$B:$B,C523,Pago_GERE!$R:$R),0)</f>
        <v>187.00000001799998</v>
      </c>
      <c r="F523" s="26">
        <f>IFERROR(SUMIF(Hoja2!$H:$H,C523,Hoja2!$U:$U),0)</f>
        <v>1359</v>
      </c>
      <c r="G523" s="17" t="str">
        <f>IFERROR(VLOOKUP(C523,Hoja3!$C:$D,2,FALSE),"")</f>
        <v>LEONARDO</v>
      </c>
      <c r="H523" s="22">
        <v>46116</v>
      </c>
      <c r="I523" s="17" t="s">
        <v>152</v>
      </c>
      <c r="J523" s="17" t="s">
        <v>151</v>
      </c>
      <c r="K523" s="17" t="s">
        <v>42</v>
      </c>
      <c r="L523" s="17">
        <v>10000064</v>
      </c>
      <c r="M523" s="17" t="s">
        <v>181</v>
      </c>
      <c r="N523" s="17">
        <v>24011181</v>
      </c>
      <c r="O523" s="17" t="s">
        <v>396</v>
      </c>
      <c r="P523" s="17" t="s">
        <v>148</v>
      </c>
      <c r="Q523" s="17" t="s">
        <v>253</v>
      </c>
      <c r="R523" s="17" t="s">
        <v>396</v>
      </c>
      <c r="S523" s="17" t="s">
        <v>147</v>
      </c>
      <c r="T523" s="17" t="s">
        <v>146</v>
      </c>
      <c r="U523" s="17" t="s">
        <v>251</v>
      </c>
      <c r="V523" s="17" t="s">
        <v>395</v>
      </c>
      <c r="W523" s="17" t="s">
        <v>315</v>
      </c>
    </row>
    <row r="524" spans="1:23" x14ac:dyDescent="0.45">
      <c r="A524" s="17" t="s">
        <v>254</v>
      </c>
      <c r="B524" s="22">
        <v>46113</v>
      </c>
      <c r="C524" s="17">
        <v>151437027</v>
      </c>
      <c r="D524" s="26">
        <f>IFERROR(SUMIF(Servicios_Promotores!$B:$B,C524,Servicios_Promotores!$R:$R),0)</f>
        <v>334.66500000050002</v>
      </c>
      <c r="E524" s="26">
        <f>IFERROR(SUMIF(Pago_GERE!$B:$B,C524,Pago_GERE!$R:$R),0)</f>
        <v>258.66500002849995</v>
      </c>
      <c r="F524" s="26">
        <f>IFERROR(SUMIF(Hoja2!$H:$H,C524,Hoja2!$U:$U),0)</f>
        <v>0</v>
      </c>
      <c r="G524" s="17" t="str">
        <f>IFERROR(VLOOKUP(C524,Hoja3!$C:$D,2,FALSE),"")</f>
        <v>LEONARDO</v>
      </c>
      <c r="H524" s="22">
        <v>46116</v>
      </c>
      <c r="I524" s="17" t="s">
        <v>260</v>
      </c>
      <c r="J524" s="17" t="s">
        <v>165</v>
      </c>
      <c r="K524" s="17" t="s">
        <v>42</v>
      </c>
      <c r="L524" s="17">
        <v>10000064</v>
      </c>
      <c r="M524" s="17" t="s">
        <v>181</v>
      </c>
      <c r="N524" s="17">
        <v>24027548</v>
      </c>
      <c r="O524" s="17" t="s">
        <v>394</v>
      </c>
      <c r="P524" s="17" t="s">
        <v>148</v>
      </c>
      <c r="Q524" s="17" t="s">
        <v>253</v>
      </c>
      <c r="R524" s="17" t="s">
        <v>394</v>
      </c>
      <c r="S524" s="17" t="s">
        <v>147</v>
      </c>
      <c r="T524" s="17" t="s">
        <v>146</v>
      </c>
      <c r="U524" s="17" t="s">
        <v>251</v>
      </c>
      <c r="V524" s="17" t="s">
        <v>393</v>
      </c>
      <c r="W524" s="17" t="s">
        <v>321</v>
      </c>
    </row>
    <row r="525" spans="1:23" x14ac:dyDescent="0.45">
      <c r="A525" s="17" t="s">
        <v>254</v>
      </c>
      <c r="B525" s="22">
        <v>46078</v>
      </c>
      <c r="C525" s="17">
        <v>151373250</v>
      </c>
      <c r="D525" s="26">
        <f>IFERROR(SUMIF(Servicios_Promotores!$B:$B,C525,Servicios_Promotores!$R:$R),0)</f>
        <v>75.000000009999994</v>
      </c>
      <c r="E525" s="26">
        <f>IFERROR(SUMIF(Pago_GERE!$B:$B,C525,Pago_GERE!$R:$R),0)</f>
        <v>75.000000009999994</v>
      </c>
      <c r="F525" s="26">
        <f>IFERROR(SUMIF(Hoja2!$H:$H,C525,Hoja2!$U:$U),0)</f>
        <v>978</v>
      </c>
      <c r="G525" s="17" t="str">
        <f>IFERROR(VLOOKUP(C525,Hoja3!$C:$D,2,FALSE),"")</f>
        <v xml:space="preserve">LEONEL </v>
      </c>
      <c r="H525" s="22">
        <v>46079</v>
      </c>
      <c r="I525" s="17" t="s">
        <v>152</v>
      </c>
      <c r="J525" s="17" t="s">
        <v>151</v>
      </c>
      <c r="K525" s="17" t="s">
        <v>55</v>
      </c>
      <c r="L525" s="17">
        <v>10000064</v>
      </c>
      <c r="M525" s="17" t="s">
        <v>211</v>
      </c>
      <c r="N525" s="17">
        <v>22598540</v>
      </c>
      <c r="O525" s="17" t="s">
        <v>839</v>
      </c>
      <c r="P525" s="17" t="s">
        <v>534</v>
      </c>
      <c r="Q525" s="17" t="s">
        <v>253</v>
      </c>
      <c r="R525" s="17" t="s">
        <v>839</v>
      </c>
      <c r="S525" s="17" t="s">
        <v>147</v>
      </c>
      <c r="T525" s="17" t="s">
        <v>55</v>
      </c>
      <c r="U525" s="17" t="s">
        <v>251</v>
      </c>
      <c r="V525" s="17" t="s">
        <v>827</v>
      </c>
      <c r="W525" s="17" t="s">
        <v>531</v>
      </c>
    </row>
    <row r="526" spans="1:23" x14ac:dyDescent="0.45">
      <c r="A526" s="17" t="s">
        <v>254</v>
      </c>
      <c r="B526" s="22">
        <v>46076</v>
      </c>
      <c r="C526" s="17">
        <v>151368821</v>
      </c>
      <c r="D526" s="26">
        <f>IFERROR(SUMIF(Servicios_Promotores!$B:$B,C526,Servicios_Promotores!$R:$R),0)</f>
        <v>49.999999998</v>
      </c>
      <c r="E526" s="26">
        <f>IFERROR(SUMIF(Pago_GERE!$B:$B,C526,Pago_GERE!$R:$R),0)</f>
        <v>0</v>
      </c>
      <c r="F526" s="26">
        <f>IFERROR(SUMIF(Hoja2!$H:$H,C526,Hoja2!$U:$U),0)</f>
        <v>0</v>
      </c>
      <c r="G526" s="17" t="str">
        <f>IFERROR(VLOOKUP(C526,Hoja3!$C:$D,2,FALSE),"")</f>
        <v xml:space="preserve">LEONEL </v>
      </c>
      <c r="H526" s="22">
        <v>46078</v>
      </c>
      <c r="I526" s="17" t="s">
        <v>468</v>
      </c>
      <c r="J526" s="17" t="s">
        <v>151</v>
      </c>
      <c r="K526" s="17" t="s">
        <v>55</v>
      </c>
      <c r="L526" s="17">
        <v>10000064</v>
      </c>
      <c r="M526" s="17" t="s">
        <v>211</v>
      </c>
      <c r="N526" s="17">
        <v>22546164</v>
      </c>
      <c r="O526" s="17" t="s">
        <v>818</v>
      </c>
      <c r="P526" s="17" t="s">
        <v>221</v>
      </c>
      <c r="Q526" s="17" t="s">
        <v>253</v>
      </c>
      <c r="R526" s="17" t="s">
        <v>818</v>
      </c>
      <c r="S526" s="17" t="s">
        <v>155</v>
      </c>
      <c r="T526" s="17" t="s">
        <v>55</v>
      </c>
      <c r="U526" s="17" t="s">
        <v>251</v>
      </c>
      <c r="V526" s="17" t="s">
        <v>817</v>
      </c>
      <c r="W526" s="17" t="s">
        <v>441</v>
      </c>
    </row>
    <row r="527" spans="1:23" x14ac:dyDescent="0.45">
      <c r="A527" s="17" t="s">
        <v>254</v>
      </c>
      <c r="B527" s="22">
        <v>46077</v>
      </c>
      <c r="C527" s="17">
        <v>151370994</v>
      </c>
      <c r="D527" s="26">
        <f>IFERROR(SUMIF(Servicios_Promotores!$B:$B,C527,Servicios_Promotores!$R:$R),0)</f>
        <v>49.999999998</v>
      </c>
      <c r="E527" s="26">
        <f>IFERROR(SUMIF(Pago_GERE!$B:$B,C527,Pago_GERE!$R:$R),0)</f>
        <v>49.999999998</v>
      </c>
      <c r="F527" s="26">
        <f>IFERROR(SUMIF(Hoja2!$H:$H,C527,Hoja2!$U:$U),0)</f>
        <v>0</v>
      </c>
      <c r="G527" s="17" t="str">
        <f>IFERROR(VLOOKUP(C527,Hoja3!$C:$D,2,FALSE),"")</f>
        <v xml:space="preserve">LEONEL </v>
      </c>
      <c r="H527" s="22">
        <v>46080</v>
      </c>
      <c r="I527" s="17" t="s">
        <v>197</v>
      </c>
      <c r="J527" s="17" t="s">
        <v>151</v>
      </c>
      <c r="K527" s="17" t="s">
        <v>42</v>
      </c>
      <c r="L527" s="17">
        <v>10001013</v>
      </c>
      <c r="M527" s="17" t="s">
        <v>183</v>
      </c>
      <c r="N527" s="17">
        <v>22577171</v>
      </c>
      <c r="O527" s="17" t="s">
        <v>826</v>
      </c>
      <c r="P527" s="17" t="s">
        <v>224</v>
      </c>
      <c r="Q527" s="17" t="s">
        <v>253</v>
      </c>
      <c r="R527" s="17" t="s">
        <v>826</v>
      </c>
      <c r="S527" s="17" t="s">
        <v>147</v>
      </c>
      <c r="T527" s="17" t="s">
        <v>223</v>
      </c>
      <c r="U527" s="17" t="s">
        <v>251</v>
      </c>
      <c r="V527" s="17" t="s">
        <v>824</v>
      </c>
      <c r="W527" s="17" t="s">
        <v>409</v>
      </c>
    </row>
    <row r="528" spans="1:23" x14ac:dyDescent="0.45">
      <c r="A528" s="17" t="s">
        <v>254</v>
      </c>
      <c r="B528" s="22">
        <v>46077</v>
      </c>
      <c r="C528" s="17">
        <v>151371022</v>
      </c>
      <c r="D528" s="26">
        <f>IFERROR(SUMIF(Servicios_Promotores!$B:$B,C528,Servicios_Promotores!$R:$R),0)</f>
        <v>0</v>
      </c>
      <c r="E528" s="26">
        <f>IFERROR(SUMIF(Pago_GERE!$B:$B,C528,Pago_GERE!$R:$R),0)</f>
        <v>0</v>
      </c>
      <c r="F528" s="26">
        <f>IFERROR(SUMIF(Hoja2!$H:$H,C528,Hoja2!$U:$U),0)</f>
        <v>1154</v>
      </c>
      <c r="G528" s="17" t="str">
        <f>IFERROR(VLOOKUP(C528,Hoja3!$C:$D,2,FALSE),"")</f>
        <v xml:space="preserve">LEONEL </v>
      </c>
      <c r="H528" s="22">
        <v>46084</v>
      </c>
      <c r="I528" s="17" t="s">
        <v>152</v>
      </c>
      <c r="J528" s="17" t="s">
        <v>165</v>
      </c>
      <c r="K528" s="17" t="s">
        <v>42</v>
      </c>
      <c r="L528" s="17">
        <v>10001013</v>
      </c>
      <c r="M528" s="17" t="s">
        <v>183</v>
      </c>
      <c r="N528" s="17">
        <v>22747793</v>
      </c>
      <c r="O528" s="17" t="s">
        <v>825</v>
      </c>
      <c r="P528" s="17" t="s">
        <v>224</v>
      </c>
      <c r="Q528" s="17" t="s">
        <v>253</v>
      </c>
      <c r="R528" s="17" t="s">
        <v>825</v>
      </c>
      <c r="S528" s="17" t="s">
        <v>147</v>
      </c>
      <c r="T528" s="17" t="s">
        <v>223</v>
      </c>
      <c r="U528" s="17" t="s">
        <v>251</v>
      </c>
      <c r="V528" s="17" t="s">
        <v>824</v>
      </c>
      <c r="W528" s="17" t="s">
        <v>409</v>
      </c>
    </row>
    <row r="529" spans="1:23" x14ac:dyDescent="0.45">
      <c r="A529" s="17" t="s">
        <v>1065</v>
      </c>
      <c r="B529" s="22">
        <v>46076</v>
      </c>
      <c r="C529" s="17">
        <v>151368887</v>
      </c>
      <c r="D529" s="26">
        <f>IFERROR(SUMIF(Servicios_Promotores!$B:$B,C529,Servicios_Promotores!$R:$R),0)</f>
        <v>0</v>
      </c>
      <c r="E529" s="26">
        <f>IFERROR(SUMIF(Pago_GERE!$B:$B,C529,Pago_GERE!$R:$R),0)</f>
        <v>0</v>
      </c>
      <c r="F529" s="26">
        <f>IFERROR(SUMIF(Hoja2!$H:$H,C529,Hoja2!$U:$U),0)</f>
        <v>0</v>
      </c>
      <c r="G529" s="17" t="str">
        <f>IFERROR(VLOOKUP(C529,Hoja3!$C:$D,2,FALSE),"")</f>
        <v xml:space="preserve">LEONEL </v>
      </c>
      <c r="H529" s="17"/>
      <c r="I529" s="17" t="s">
        <v>197</v>
      </c>
      <c r="J529" s="17" t="s">
        <v>165</v>
      </c>
      <c r="K529" s="17" t="s">
        <v>42</v>
      </c>
      <c r="L529" s="17">
        <v>10000064</v>
      </c>
      <c r="M529" s="17" t="s">
        <v>149</v>
      </c>
      <c r="N529" s="17">
        <v>22548922</v>
      </c>
      <c r="O529" s="17" t="s">
        <v>1124</v>
      </c>
      <c r="P529" s="17" t="s">
        <v>224</v>
      </c>
      <c r="Q529" s="17" t="s">
        <v>1064</v>
      </c>
      <c r="R529" s="17" t="s">
        <v>1124</v>
      </c>
      <c r="S529" s="17" t="s">
        <v>147</v>
      </c>
      <c r="T529" s="17" t="s">
        <v>223</v>
      </c>
      <c r="U529" s="17" t="s">
        <v>251</v>
      </c>
      <c r="V529" s="17"/>
      <c r="W529" s="17"/>
    </row>
    <row r="530" spans="1:23" x14ac:dyDescent="0.45">
      <c r="A530" s="17" t="s">
        <v>254</v>
      </c>
      <c r="B530" s="22">
        <v>46076</v>
      </c>
      <c r="C530" s="17">
        <v>151368923</v>
      </c>
      <c r="D530" s="26">
        <f>IFERROR(SUMIF(Servicios_Promotores!$B:$B,C530,Servicios_Promotores!$R:$R),0)</f>
        <v>49.999999998</v>
      </c>
      <c r="E530" s="26">
        <f>IFERROR(SUMIF(Pago_GERE!$B:$B,C530,Pago_GERE!$R:$R),0)</f>
        <v>49.999999998</v>
      </c>
      <c r="F530" s="26">
        <f>IFERROR(SUMIF(Hoja2!$H:$H,C530,Hoja2!$U:$U),0)</f>
        <v>394</v>
      </c>
      <c r="G530" s="17" t="str">
        <f>IFERROR(VLOOKUP(C530,Hoja3!$C:$D,2,FALSE),"")</f>
        <v xml:space="preserve">LEONEL </v>
      </c>
      <c r="H530" s="22">
        <v>46078</v>
      </c>
      <c r="I530" s="17" t="s">
        <v>152</v>
      </c>
      <c r="J530" s="17" t="s">
        <v>165</v>
      </c>
      <c r="K530" s="17" t="s">
        <v>36</v>
      </c>
      <c r="L530" s="17">
        <v>10000064</v>
      </c>
      <c r="M530" s="17" t="s">
        <v>149</v>
      </c>
      <c r="N530" s="17">
        <v>22594499</v>
      </c>
      <c r="O530" s="17" t="s">
        <v>816</v>
      </c>
      <c r="P530" s="17" t="s">
        <v>174</v>
      </c>
      <c r="Q530" s="17" t="s">
        <v>253</v>
      </c>
      <c r="R530" s="17" t="s">
        <v>816</v>
      </c>
      <c r="S530" s="17" t="s">
        <v>147</v>
      </c>
      <c r="T530" s="17" t="s">
        <v>173</v>
      </c>
      <c r="U530" s="17" t="s">
        <v>251</v>
      </c>
      <c r="V530" s="17" t="s">
        <v>815</v>
      </c>
      <c r="W530" s="17" t="s">
        <v>814</v>
      </c>
    </row>
    <row r="531" spans="1:23" x14ac:dyDescent="0.45">
      <c r="A531" s="17" t="s">
        <v>254</v>
      </c>
      <c r="B531" s="22">
        <v>46076</v>
      </c>
      <c r="C531" s="17">
        <v>151368948</v>
      </c>
      <c r="D531" s="26">
        <f>IFERROR(SUMIF(Servicios_Promotores!$B:$B,C531,Servicios_Promotores!$R:$R),0)</f>
        <v>0</v>
      </c>
      <c r="E531" s="26">
        <f>IFERROR(SUMIF(Pago_GERE!$B:$B,C531,Pago_GERE!$R:$R),0)</f>
        <v>0</v>
      </c>
      <c r="F531" s="26">
        <f>IFERROR(SUMIF(Hoja2!$H:$H,C531,Hoja2!$U:$U),0)</f>
        <v>0</v>
      </c>
      <c r="G531" s="17" t="str">
        <f>IFERROR(VLOOKUP(C531,Hoja3!$C:$D,2,FALSE),"")</f>
        <v xml:space="preserve">LEONEL </v>
      </c>
      <c r="H531" s="22">
        <v>46081</v>
      </c>
      <c r="I531" s="17" t="s">
        <v>152</v>
      </c>
      <c r="J531" s="17" t="s">
        <v>151</v>
      </c>
      <c r="K531" s="17" t="s">
        <v>42</v>
      </c>
      <c r="L531" s="17">
        <v>10000064</v>
      </c>
      <c r="M531" s="17" t="s">
        <v>149</v>
      </c>
      <c r="N531" s="17">
        <v>22547496</v>
      </c>
      <c r="O531" s="17" t="s">
        <v>810</v>
      </c>
      <c r="P531" s="17" t="s">
        <v>224</v>
      </c>
      <c r="Q531" s="17" t="s">
        <v>253</v>
      </c>
      <c r="R531" s="17" t="s">
        <v>810</v>
      </c>
      <c r="S531" s="17" t="s">
        <v>147</v>
      </c>
      <c r="T531" s="17" t="s">
        <v>223</v>
      </c>
      <c r="U531" s="17" t="s">
        <v>251</v>
      </c>
      <c r="V531" s="17" t="s">
        <v>268</v>
      </c>
      <c r="W531" s="17" t="s">
        <v>267</v>
      </c>
    </row>
    <row r="532" spans="1:23" x14ac:dyDescent="0.45">
      <c r="A532" s="17"/>
      <c r="B532" s="22">
        <v>46077</v>
      </c>
      <c r="C532" s="17">
        <v>151370951</v>
      </c>
      <c r="D532" s="26">
        <f>IFERROR(SUMIF(Servicios_Promotores!$B:$B,C532,Servicios_Promotores!$R:$R),0)</f>
        <v>0</v>
      </c>
      <c r="E532" s="26">
        <f>IFERROR(SUMIF(Pago_GERE!$B:$B,C532,Pago_GERE!$R:$R),0)</f>
        <v>0</v>
      </c>
      <c r="F532" s="26">
        <f>IFERROR(SUMIF(Hoja2!$H:$H,C532,Hoja2!$U:$U),0)</f>
        <v>0</v>
      </c>
      <c r="G532" s="17" t="str">
        <f>IFERROR(VLOOKUP(C532,Hoja3!$C:$D,2,FALSE),"")</f>
        <v xml:space="preserve">LEONEL </v>
      </c>
      <c r="H532" s="17"/>
      <c r="I532" s="17" t="s">
        <v>163</v>
      </c>
      <c r="J532" s="17" t="s">
        <v>151</v>
      </c>
      <c r="K532" s="17" t="s">
        <v>55</v>
      </c>
      <c r="L532" s="17">
        <v>10001013</v>
      </c>
      <c r="M532" s="17" t="s">
        <v>196</v>
      </c>
      <c r="N532" s="17">
        <v>151370951</v>
      </c>
      <c r="O532" s="17"/>
      <c r="P532" s="17" t="s">
        <v>221</v>
      </c>
      <c r="Q532" s="17"/>
      <c r="R532" s="17"/>
      <c r="S532" s="17" t="s">
        <v>147</v>
      </c>
      <c r="T532" s="17" t="s">
        <v>55</v>
      </c>
      <c r="U532" s="17" t="s">
        <v>172</v>
      </c>
      <c r="V532" s="17" t="s">
        <v>210</v>
      </c>
      <c r="W532" s="17"/>
    </row>
    <row r="533" spans="1:23" x14ac:dyDescent="0.45">
      <c r="A533" s="17" t="s">
        <v>254</v>
      </c>
      <c r="B533" s="22">
        <v>46078</v>
      </c>
      <c r="C533" s="17">
        <v>151373288</v>
      </c>
      <c r="D533" s="26">
        <f>IFERROR(SUMIF(Servicios_Promotores!$B:$B,C533,Servicios_Promotores!$R:$R),0)</f>
        <v>0</v>
      </c>
      <c r="E533" s="26">
        <f>IFERROR(SUMIF(Pago_GERE!$B:$B,C533,Pago_GERE!$R:$R),0)</f>
        <v>0</v>
      </c>
      <c r="F533" s="26">
        <f>IFERROR(SUMIF(Hoja2!$H:$H,C533,Hoja2!$U:$U),0)</f>
        <v>1009</v>
      </c>
      <c r="G533" s="17" t="str">
        <f>IFERROR(VLOOKUP(C533,Hoja3!$C:$D,2,FALSE),"")</f>
        <v>LUIS ENRIQUE</v>
      </c>
      <c r="H533" s="22">
        <v>46079</v>
      </c>
      <c r="I533" s="17" t="s">
        <v>152</v>
      </c>
      <c r="J533" s="17" t="s">
        <v>151</v>
      </c>
      <c r="K533" s="17" t="s">
        <v>55</v>
      </c>
      <c r="L533" s="17">
        <v>10000064</v>
      </c>
      <c r="M533" s="17" t="s">
        <v>211</v>
      </c>
      <c r="N533" s="17">
        <v>22598508</v>
      </c>
      <c r="O533" s="17" t="s">
        <v>833</v>
      </c>
      <c r="P533" s="17" t="s">
        <v>534</v>
      </c>
      <c r="Q533" s="17" t="s">
        <v>253</v>
      </c>
      <c r="R533" s="17" t="s">
        <v>833</v>
      </c>
      <c r="S533" s="17" t="s">
        <v>147</v>
      </c>
      <c r="T533" s="17" t="s">
        <v>55</v>
      </c>
      <c r="U533" s="17" t="s">
        <v>251</v>
      </c>
      <c r="V533" s="17" t="s">
        <v>827</v>
      </c>
      <c r="W533" s="17" t="s">
        <v>531</v>
      </c>
    </row>
    <row r="534" spans="1:23" x14ac:dyDescent="0.45">
      <c r="A534" s="17" t="s">
        <v>254</v>
      </c>
      <c r="B534" s="22">
        <v>46078</v>
      </c>
      <c r="C534" s="17">
        <v>151373324</v>
      </c>
      <c r="D534" s="26">
        <f>IFERROR(SUMIF(Servicios_Promotores!$B:$B,C534,Servicios_Promotores!$R:$R),0)</f>
        <v>0</v>
      </c>
      <c r="E534" s="26">
        <f>IFERROR(SUMIF(Pago_GERE!$B:$B,C534,Pago_GERE!$R:$R),0)</f>
        <v>0</v>
      </c>
      <c r="F534" s="26">
        <f>IFERROR(SUMIF(Hoja2!$H:$H,C534,Hoja2!$U:$U),0)</f>
        <v>1747</v>
      </c>
      <c r="G534" s="17" t="str">
        <f>IFERROR(VLOOKUP(C534,Hoja3!$C:$D,2,FALSE),"")</f>
        <v>LUIS ENRIQUE</v>
      </c>
      <c r="H534" s="22">
        <v>46083</v>
      </c>
      <c r="I534" s="17" t="s">
        <v>163</v>
      </c>
      <c r="J534" s="17" t="s">
        <v>151</v>
      </c>
      <c r="K534" s="17" t="s">
        <v>55</v>
      </c>
      <c r="L534" s="17">
        <v>10000064</v>
      </c>
      <c r="M534" s="17" t="s">
        <v>211</v>
      </c>
      <c r="N534" s="17">
        <v>22598475</v>
      </c>
      <c r="O534" s="17" t="s">
        <v>828</v>
      </c>
      <c r="P534" s="17" t="s">
        <v>534</v>
      </c>
      <c r="Q534" s="17" t="s">
        <v>253</v>
      </c>
      <c r="R534" s="17" t="s">
        <v>828</v>
      </c>
      <c r="S534" s="17" t="s">
        <v>147</v>
      </c>
      <c r="T534" s="17" t="s">
        <v>55</v>
      </c>
      <c r="U534" s="17" t="s">
        <v>251</v>
      </c>
      <c r="V534" s="17" t="s">
        <v>827</v>
      </c>
      <c r="W534" s="17" t="s">
        <v>531</v>
      </c>
    </row>
    <row r="535" spans="1:23" x14ac:dyDescent="0.45">
      <c r="A535" s="17" t="s">
        <v>254</v>
      </c>
      <c r="B535" s="22">
        <v>46078</v>
      </c>
      <c r="C535" s="17">
        <v>151373277</v>
      </c>
      <c r="D535" s="26">
        <f>IFERROR(SUMIF(Servicios_Promotores!$B:$B,C535,Servicios_Promotores!$R:$R),0)</f>
        <v>0</v>
      </c>
      <c r="E535" s="26">
        <f>IFERROR(SUMIF(Pago_GERE!$B:$B,C535,Pago_GERE!$R:$R),0)</f>
        <v>0</v>
      </c>
      <c r="F535" s="26">
        <f>IFERROR(SUMIF(Hoja2!$H:$H,C535,Hoja2!$U:$U),0)</f>
        <v>364</v>
      </c>
      <c r="G535" s="17" t="str">
        <f>IFERROR(VLOOKUP(C535,Hoja3!$C:$D,2,FALSE),"")</f>
        <v>LUIS ENRIQUE</v>
      </c>
      <c r="H535" s="22">
        <v>46086</v>
      </c>
      <c r="I535" s="17" t="s">
        <v>152</v>
      </c>
      <c r="J535" s="17" t="s">
        <v>165</v>
      </c>
      <c r="K535" s="17" t="s">
        <v>42</v>
      </c>
      <c r="L535" s="17">
        <v>10001013</v>
      </c>
      <c r="M535" s="17" t="s">
        <v>183</v>
      </c>
      <c r="N535" s="17">
        <v>22778259</v>
      </c>
      <c r="O535" s="17" t="s">
        <v>830</v>
      </c>
      <c r="P535" s="17" t="s">
        <v>224</v>
      </c>
      <c r="Q535" s="17" t="s">
        <v>253</v>
      </c>
      <c r="R535" s="17" t="s">
        <v>830</v>
      </c>
      <c r="S535" s="17" t="s">
        <v>147</v>
      </c>
      <c r="T535" s="17" t="s">
        <v>223</v>
      </c>
      <c r="U535" s="17" t="s">
        <v>251</v>
      </c>
      <c r="V535" s="17" t="s">
        <v>829</v>
      </c>
      <c r="W535" s="17" t="s">
        <v>409</v>
      </c>
    </row>
    <row r="536" spans="1:23" x14ac:dyDescent="0.45">
      <c r="A536" s="17"/>
      <c r="B536" s="22">
        <v>46078</v>
      </c>
      <c r="C536" s="17">
        <v>151373313</v>
      </c>
      <c r="D536" s="26">
        <f>IFERROR(SUMIF(Servicios_Promotores!$B:$B,C536,Servicios_Promotores!$R:$R),0)</f>
        <v>0</v>
      </c>
      <c r="E536" s="26">
        <f>IFERROR(SUMIF(Pago_GERE!$B:$B,C536,Pago_GERE!$R:$R),0)</f>
        <v>0</v>
      </c>
      <c r="F536" s="26">
        <f>IFERROR(SUMIF(Hoja2!$H:$H,C536,Hoja2!$U:$U),0)</f>
        <v>0</v>
      </c>
      <c r="G536" s="17" t="str">
        <f>IFERROR(VLOOKUP(C536,Hoja3!$C:$D,2,FALSE),"")</f>
        <v>LUIS ENRIQUE</v>
      </c>
      <c r="H536" s="17"/>
      <c r="I536" s="17" t="s">
        <v>152</v>
      </c>
      <c r="J536" s="17" t="s">
        <v>151</v>
      </c>
      <c r="K536" s="17" t="s">
        <v>55</v>
      </c>
      <c r="L536" s="17">
        <v>10001013</v>
      </c>
      <c r="M536" s="17" t="s">
        <v>183</v>
      </c>
      <c r="N536" s="17">
        <v>151373313</v>
      </c>
      <c r="O536" s="17"/>
      <c r="P536" s="17" t="s">
        <v>222</v>
      </c>
      <c r="Q536" s="17"/>
      <c r="R536" s="17"/>
      <c r="S536" s="17" t="s">
        <v>147</v>
      </c>
      <c r="T536" s="17" t="s">
        <v>55</v>
      </c>
      <c r="U536" s="17" t="s">
        <v>153</v>
      </c>
      <c r="V536" s="17" t="s">
        <v>210</v>
      </c>
      <c r="W536" s="17"/>
    </row>
    <row r="537" spans="1:23" x14ac:dyDescent="0.45">
      <c r="A537" s="17" t="s">
        <v>254</v>
      </c>
      <c r="B537" s="22">
        <v>46083</v>
      </c>
      <c r="C537" s="17">
        <v>151382237</v>
      </c>
      <c r="D537" s="26">
        <f>IFERROR(SUMIF(Servicios_Promotores!$B:$B,C537,Servicios_Promotores!$R:$R),0)</f>
        <v>49.999999998</v>
      </c>
      <c r="E537" s="26">
        <f>IFERROR(SUMIF(Pago_GERE!$B:$B,C537,Pago_GERE!$R:$R),0)</f>
        <v>49.999999998</v>
      </c>
      <c r="F537" s="26">
        <f>IFERROR(SUMIF(Hoja2!$H:$H,C537,Hoja2!$U:$U),0)</f>
        <v>0</v>
      </c>
      <c r="G537" s="17" t="str">
        <f>IFERROR(VLOOKUP(C537,Hoja3!$C:$D,2,FALSE),"")</f>
        <v>LUIS ENRIQUE</v>
      </c>
      <c r="H537" s="22">
        <v>46085</v>
      </c>
      <c r="I537" s="17" t="s">
        <v>158</v>
      </c>
      <c r="J537" s="17" t="s">
        <v>151</v>
      </c>
      <c r="K537" s="17" t="s">
        <v>42</v>
      </c>
      <c r="L537" s="17">
        <v>10000064</v>
      </c>
      <c r="M537" s="17" t="s">
        <v>149</v>
      </c>
      <c r="N537" s="17">
        <v>22730966</v>
      </c>
      <c r="O537" s="17" t="s">
        <v>527</v>
      </c>
      <c r="P537" s="17" t="s">
        <v>148</v>
      </c>
      <c r="Q537" s="17" t="s">
        <v>253</v>
      </c>
      <c r="R537" s="17" t="s">
        <v>527</v>
      </c>
      <c r="S537" s="17" t="s">
        <v>155</v>
      </c>
      <c r="T537" s="17" t="s">
        <v>146</v>
      </c>
      <c r="U537" s="17" t="s">
        <v>251</v>
      </c>
      <c r="V537" s="17" t="s">
        <v>526</v>
      </c>
      <c r="W537" s="17" t="s">
        <v>511</v>
      </c>
    </row>
    <row r="538" spans="1:23" x14ac:dyDescent="0.45">
      <c r="A538" s="17" t="s">
        <v>254</v>
      </c>
      <c r="B538" s="22">
        <v>46081</v>
      </c>
      <c r="C538" s="17">
        <v>151379133</v>
      </c>
      <c r="D538" s="26">
        <f>IFERROR(SUMIF(Servicios_Promotores!$B:$B,C538,Servicios_Promotores!$R:$R),0)</f>
        <v>0</v>
      </c>
      <c r="E538" s="26">
        <f>IFERROR(SUMIF(Pago_GERE!$B:$B,C538,Pago_GERE!$R:$R),0)</f>
        <v>0</v>
      </c>
      <c r="F538" s="26">
        <f>IFERROR(SUMIF(Hoja2!$H:$H,C538,Hoja2!$U:$U),0)</f>
        <v>753</v>
      </c>
      <c r="G538" s="17" t="str">
        <f>IFERROR(VLOOKUP(C538,Hoja3!$C:$D,2,FALSE),"")</f>
        <v>LUIS ENRIQUE</v>
      </c>
      <c r="H538" s="22">
        <v>46086</v>
      </c>
      <c r="I538" s="17" t="s">
        <v>152</v>
      </c>
      <c r="J538" s="17" t="s">
        <v>165</v>
      </c>
      <c r="K538" s="17" t="s">
        <v>55</v>
      </c>
      <c r="L538" s="17">
        <v>10000064</v>
      </c>
      <c r="M538" s="17" t="s">
        <v>193</v>
      </c>
      <c r="N538" s="17">
        <v>22797413</v>
      </c>
      <c r="O538" s="17" t="s">
        <v>863</v>
      </c>
      <c r="P538" s="17" t="s">
        <v>534</v>
      </c>
      <c r="Q538" s="17" t="s">
        <v>253</v>
      </c>
      <c r="R538" s="17" t="s">
        <v>863</v>
      </c>
      <c r="S538" s="17" t="s">
        <v>147</v>
      </c>
      <c r="T538" s="17" t="s">
        <v>55</v>
      </c>
      <c r="U538" s="17" t="s">
        <v>251</v>
      </c>
      <c r="V538" s="17" t="s">
        <v>862</v>
      </c>
      <c r="W538" s="17" t="s">
        <v>861</v>
      </c>
    </row>
    <row r="539" spans="1:23" x14ac:dyDescent="0.45">
      <c r="A539" s="17" t="s">
        <v>254</v>
      </c>
      <c r="B539" s="22">
        <v>46081</v>
      </c>
      <c r="C539" s="17">
        <v>151379081</v>
      </c>
      <c r="D539" s="26">
        <f>IFERROR(SUMIF(Servicios_Promotores!$B:$B,C539,Servicios_Promotores!$R:$R),0)</f>
        <v>49.999999998</v>
      </c>
      <c r="E539" s="26">
        <f>IFERROR(SUMIF(Pago_GERE!$B:$B,C539,Pago_GERE!$R:$R),0)</f>
        <v>49.999999998</v>
      </c>
      <c r="F539" s="26">
        <f>IFERROR(SUMIF(Hoja2!$H:$H,C539,Hoja2!$U:$U),0)</f>
        <v>0</v>
      </c>
      <c r="G539" s="17" t="str">
        <f>IFERROR(VLOOKUP(C539,Hoja3!$C:$D,2,FALSE),"")</f>
        <v>LUIS ENRIQUE</v>
      </c>
      <c r="H539" s="22">
        <v>46085</v>
      </c>
      <c r="I539" s="17" t="s">
        <v>163</v>
      </c>
      <c r="J539" s="17" t="s">
        <v>151</v>
      </c>
      <c r="K539" s="17" t="s">
        <v>42</v>
      </c>
      <c r="L539" s="17">
        <v>10000064</v>
      </c>
      <c r="M539" s="17" t="s">
        <v>193</v>
      </c>
      <c r="N539" s="17">
        <v>22692935</v>
      </c>
      <c r="O539" s="17" t="s">
        <v>860</v>
      </c>
      <c r="P539" s="17" t="s">
        <v>148</v>
      </c>
      <c r="Q539" s="17" t="s">
        <v>253</v>
      </c>
      <c r="R539" s="17" t="s">
        <v>860</v>
      </c>
      <c r="S539" s="17" t="s">
        <v>147</v>
      </c>
      <c r="T539" s="17" t="s">
        <v>146</v>
      </c>
      <c r="U539" s="17" t="s">
        <v>251</v>
      </c>
      <c r="V539" s="17" t="s">
        <v>859</v>
      </c>
      <c r="W539" s="17" t="s">
        <v>858</v>
      </c>
    </row>
    <row r="540" spans="1:23" x14ac:dyDescent="0.45">
      <c r="A540" s="17" t="s">
        <v>254</v>
      </c>
      <c r="B540" s="22">
        <v>46081</v>
      </c>
      <c r="C540" s="17">
        <v>151379116</v>
      </c>
      <c r="D540" s="26">
        <f>IFERROR(SUMIF(Servicios_Promotores!$B:$B,C540,Servicios_Promotores!$R:$R),0)</f>
        <v>49.999999998</v>
      </c>
      <c r="E540" s="26">
        <f>IFERROR(SUMIF(Pago_GERE!$B:$B,C540,Pago_GERE!$R:$R),0)</f>
        <v>49.999999998</v>
      </c>
      <c r="F540" s="26">
        <f>IFERROR(SUMIF(Hoja2!$H:$H,C540,Hoja2!$U:$U),0)</f>
        <v>0</v>
      </c>
      <c r="G540" s="17" t="str">
        <f>IFERROR(VLOOKUP(C540,Hoja3!$C:$D,2,FALSE),"")</f>
        <v>LUIS ENRIQUE</v>
      </c>
      <c r="H540" s="22">
        <v>46086</v>
      </c>
      <c r="I540" s="17" t="s">
        <v>209</v>
      </c>
      <c r="J540" s="17" t="s">
        <v>165</v>
      </c>
      <c r="K540" s="17" t="s">
        <v>42</v>
      </c>
      <c r="L540" s="17">
        <v>10000064</v>
      </c>
      <c r="M540" s="17" t="s">
        <v>193</v>
      </c>
      <c r="N540" s="17">
        <v>22778287</v>
      </c>
      <c r="O540" s="17" t="s">
        <v>857</v>
      </c>
      <c r="P540" s="17" t="s">
        <v>148</v>
      </c>
      <c r="Q540" s="17" t="s">
        <v>253</v>
      </c>
      <c r="R540" s="17" t="s">
        <v>857</v>
      </c>
      <c r="S540" s="17" t="s">
        <v>147</v>
      </c>
      <c r="T540" s="17" t="s">
        <v>146</v>
      </c>
      <c r="U540" s="17" t="s">
        <v>251</v>
      </c>
      <c r="V540" s="17" t="s">
        <v>681</v>
      </c>
      <c r="W540" s="17" t="s">
        <v>680</v>
      </c>
    </row>
    <row r="541" spans="1:23" x14ac:dyDescent="0.45">
      <c r="A541" s="17" t="s">
        <v>254</v>
      </c>
      <c r="B541" s="22">
        <v>46081</v>
      </c>
      <c r="C541" s="17">
        <v>151379104</v>
      </c>
      <c r="D541" s="26">
        <f>IFERROR(SUMIF(Servicios_Promotores!$B:$B,C541,Servicios_Promotores!$R:$R),0)</f>
        <v>0</v>
      </c>
      <c r="E541" s="26">
        <f>IFERROR(SUMIF(Pago_GERE!$B:$B,C541,Pago_GERE!$R:$R),0)</f>
        <v>0</v>
      </c>
      <c r="F541" s="26">
        <f>IFERROR(SUMIF(Hoja2!$H:$H,C541,Hoja2!$U:$U),0)</f>
        <v>1398</v>
      </c>
      <c r="G541" s="17" t="str">
        <f>IFERROR(VLOOKUP(C541,Hoja3!$C:$D,2,FALSE),"")</f>
        <v>LUIS ENRIQUE</v>
      </c>
      <c r="H541" s="22">
        <v>46086</v>
      </c>
      <c r="I541" s="17" t="s">
        <v>163</v>
      </c>
      <c r="J541" s="17" t="s">
        <v>151</v>
      </c>
      <c r="K541" s="17" t="s">
        <v>55</v>
      </c>
      <c r="L541" s="17">
        <v>10000064</v>
      </c>
      <c r="M541" s="17" t="s">
        <v>193</v>
      </c>
      <c r="N541" s="17">
        <v>22700772</v>
      </c>
      <c r="O541" s="17" t="s">
        <v>856</v>
      </c>
      <c r="P541" s="17" t="s">
        <v>534</v>
      </c>
      <c r="Q541" s="17" t="s">
        <v>253</v>
      </c>
      <c r="R541" s="17" t="s">
        <v>856</v>
      </c>
      <c r="S541" s="17" t="s">
        <v>147</v>
      </c>
      <c r="T541" s="17" t="s">
        <v>55</v>
      </c>
      <c r="U541" s="17" t="s">
        <v>251</v>
      </c>
      <c r="V541" s="17" t="s">
        <v>210</v>
      </c>
      <c r="W541" s="17"/>
    </row>
    <row r="542" spans="1:23" x14ac:dyDescent="0.45">
      <c r="A542" s="17" t="s">
        <v>254</v>
      </c>
      <c r="B542" s="22">
        <v>46092</v>
      </c>
      <c r="C542" s="17">
        <v>151399096</v>
      </c>
      <c r="D542" s="26">
        <f>IFERROR(SUMIF(Servicios_Promotores!$B:$B,C542,Servicios_Promotores!$R:$R),0)</f>
        <v>0</v>
      </c>
      <c r="E542" s="26">
        <f>IFERROR(SUMIF(Pago_GERE!$B:$B,C542,Pago_GERE!$R:$R),0)</f>
        <v>0</v>
      </c>
      <c r="F542" s="26">
        <f>IFERROR(SUMIF(Hoja2!$H:$H,C542,Hoja2!$U:$U),0)</f>
        <v>0</v>
      </c>
      <c r="G542" s="17" t="str">
        <f>IFERROR(VLOOKUP(C542,Hoja3!$C:$D,2,FALSE),"")</f>
        <v>LUIS ENRIQUE</v>
      </c>
      <c r="H542" s="22">
        <v>46094</v>
      </c>
      <c r="I542" s="17" t="s">
        <v>209</v>
      </c>
      <c r="J542" s="17" t="s">
        <v>151</v>
      </c>
      <c r="K542" s="17" t="s">
        <v>42</v>
      </c>
      <c r="L542" s="17">
        <v>10000064</v>
      </c>
      <c r="M542" s="17" t="s">
        <v>193</v>
      </c>
      <c r="N542" s="17">
        <v>22950926</v>
      </c>
      <c r="O542" s="17" t="s">
        <v>632</v>
      </c>
      <c r="P542" s="17" t="s">
        <v>148</v>
      </c>
      <c r="Q542" s="17" t="s">
        <v>253</v>
      </c>
      <c r="R542" s="17" t="s">
        <v>632</v>
      </c>
      <c r="S542" s="17" t="s">
        <v>147</v>
      </c>
      <c r="T542" s="17" t="s">
        <v>146</v>
      </c>
      <c r="U542" s="17" t="s">
        <v>251</v>
      </c>
      <c r="V542" s="17" t="s">
        <v>631</v>
      </c>
      <c r="W542" s="17" t="s">
        <v>630</v>
      </c>
    </row>
    <row r="543" spans="1:23" x14ac:dyDescent="0.45">
      <c r="A543" s="17" t="s">
        <v>254</v>
      </c>
      <c r="B543" s="22">
        <v>46091</v>
      </c>
      <c r="C543" s="17">
        <v>151396770</v>
      </c>
      <c r="D543" s="26">
        <f>IFERROR(SUMIF(Servicios_Promotores!$B:$B,C543,Servicios_Promotores!$R:$R),0)</f>
        <v>0</v>
      </c>
      <c r="E543" s="26">
        <f>IFERROR(SUMIF(Pago_GERE!$B:$B,C543,Pago_GERE!$R:$R),0)</f>
        <v>0</v>
      </c>
      <c r="F543" s="26">
        <f>IFERROR(SUMIF(Hoja2!$H:$H,C543,Hoja2!$U:$U),0)</f>
        <v>1372</v>
      </c>
      <c r="G543" s="17" t="str">
        <f>IFERROR(VLOOKUP(C543,Hoja3!$C:$D,2,FALSE),"")</f>
        <v>LUIS ENRIQUE</v>
      </c>
      <c r="H543" s="22">
        <v>46093</v>
      </c>
      <c r="I543" s="17" t="s">
        <v>152</v>
      </c>
      <c r="J543" s="17" t="s">
        <v>151</v>
      </c>
      <c r="K543" s="17" t="s">
        <v>31</v>
      </c>
      <c r="L543" s="17">
        <v>10000064</v>
      </c>
      <c r="M543" s="17" t="s">
        <v>193</v>
      </c>
      <c r="N543" s="17">
        <v>22935569</v>
      </c>
      <c r="O543" s="17" t="s">
        <v>621</v>
      </c>
      <c r="P543" s="17" t="s">
        <v>179</v>
      </c>
      <c r="Q543" s="17" t="s">
        <v>253</v>
      </c>
      <c r="R543" s="17" t="s">
        <v>621</v>
      </c>
      <c r="S543" s="17" t="s">
        <v>147</v>
      </c>
      <c r="T543" s="17" t="s">
        <v>178</v>
      </c>
      <c r="U543" s="17" t="s">
        <v>251</v>
      </c>
      <c r="V543" s="17" t="s">
        <v>618</v>
      </c>
      <c r="W543" s="17" t="s">
        <v>175</v>
      </c>
    </row>
    <row r="544" spans="1:23" x14ac:dyDescent="0.45">
      <c r="A544" s="17" t="s">
        <v>254</v>
      </c>
      <c r="B544" s="22">
        <v>46091</v>
      </c>
      <c r="C544" s="17">
        <v>151396712</v>
      </c>
      <c r="D544" s="26">
        <f>IFERROR(SUMIF(Servicios_Promotores!$B:$B,C544,Servicios_Promotores!$R:$R),0)</f>
        <v>75.000000009999994</v>
      </c>
      <c r="E544" s="26">
        <f>IFERROR(SUMIF(Pago_GERE!$B:$B,C544,Pago_GERE!$R:$R),0)</f>
        <v>75.000000009999994</v>
      </c>
      <c r="F544" s="26">
        <f>IFERROR(SUMIF(Hoja2!$H:$H,C544,Hoja2!$U:$U),0)</f>
        <v>0</v>
      </c>
      <c r="G544" s="17" t="str">
        <f>IFERROR(VLOOKUP(C544,Hoja3!$C:$D,2,FALSE),"")</f>
        <v>LUIS ENRIQUE</v>
      </c>
      <c r="H544" s="22">
        <v>46094</v>
      </c>
      <c r="I544" s="17" t="s">
        <v>152</v>
      </c>
      <c r="J544" s="17" t="s">
        <v>165</v>
      </c>
      <c r="K544" s="17" t="s">
        <v>31</v>
      </c>
      <c r="L544" s="17">
        <v>10000064</v>
      </c>
      <c r="M544" s="17" t="s">
        <v>193</v>
      </c>
      <c r="N544" s="17">
        <v>22939415</v>
      </c>
      <c r="O544" s="17" t="s">
        <v>619</v>
      </c>
      <c r="P544" s="17" t="s">
        <v>179</v>
      </c>
      <c r="Q544" s="17" t="s">
        <v>253</v>
      </c>
      <c r="R544" s="17" t="s">
        <v>619</v>
      </c>
      <c r="S544" s="17" t="s">
        <v>147</v>
      </c>
      <c r="T544" s="17" t="s">
        <v>178</v>
      </c>
      <c r="U544" s="17" t="s">
        <v>251</v>
      </c>
      <c r="V544" s="17" t="s">
        <v>618</v>
      </c>
      <c r="W544" s="17" t="s">
        <v>175</v>
      </c>
    </row>
    <row r="545" spans="1:23" x14ac:dyDescent="0.45">
      <c r="A545" s="17" t="s">
        <v>254</v>
      </c>
      <c r="B545" s="22">
        <v>46090</v>
      </c>
      <c r="C545" s="17">
        <v>151393793</v>
      </c>
      <c r="D545" s="26">
        <f>IFERROR(SUMIF(Servicios_Promotores!$B:$B,C545,Servicios_Promotores!$R:$R),0)</f>
        <v>75.000000009999994</v>
      </c>
      <c r="E545" s="26">
        <f>IFERROR(SUMIF(Pago_GERE!$B:$B,C545,Pago_GERE!$R:$R),0)</f>
        <v>75.000000009999994</v>
      </c>
      <c r="F545" s="26">
        <f>IFERROR(SUMIF(Hoja2!$H:$H,C545,Hoja2!$U:$U),0)</f>
        <v>978</v>
      </c>
      <c r="G545" s="17" t="str">
        <f>IFERROR(VLOOKUP(C545,Hoja3!$C:$D,2,FALSE),"")</f>
        <v>LUIS ENRIQUE</v>
      </c>
      <c r="H545" s="22">
        <v>46091</v>
      </c>
      <c r="I545" s="17" t="s">
        <v>152</v>
      </c>
      <c r="J545" s="17" t="s">
        <v>151</v>
      </c>
      <c r="K545" s="17" t="s">
        <v>61</v>
      </c>
      <c r="L545" s="17">
        <v>10000064</v>
      </c>
      <c r="M545" s="17" t="s">
        <v>193</v>
      </c>
      <c r="N545" s="17">
        <v>22885260</v>
      </c>
      <c r="O545" s="17" t="s">
        <v>597</v>
      </c>
      <c r="P545" s="17" t="s">
        <v>598</v>
      </c>
      <c r="Q545" s="17" t="s">
        <v>253</v>
      </c>
      <c r="R545" s="17" t="s">
        <v>597</v>
      </c>
      <c r="S545" s="17" t="s">
        <v>147</v>
      </c>
      <c r="T545" s="17" t="s">
        <v>587</v>
      </c>
      <c r="U545" s="17" t="s">
        <v>251</v>
      </c>
      <c r="V545" s="17" t="s">
        <v>596</v>
      </c>
      <c r="W545" s="17" t="s">
        <v>441</v>
      </c>
    </row>
    <row r="546" spans="1:23" x14ac:dyDescent="0.45">
      <c r="A546" s="17" t="s">
        <v>254</v>
      </c>
      <c r="B546" s="22">
        <v>46087</v>
      </c>
      <c r="C546" s="17">
        <v>151391024</v>
      </c>
      <c r="D546" s="26">
        <f>IFERROR(SUMIF(Servicios_Promotores!$B:$B,C546,Servicios_Promotores!$R:$R),0)</f>
        <v>49.999999998</v>
      </c>
      <c r="E546" s="26">
        <f>IFERROR(SUMIF(Pago_GERE!$B:$B,C546,Pago_GERE!$R:$R),0)</f>
        <v>49.999999998</v>
      </c>
      <c r="F546" s="26">
        <f>IFERROR(SUMIF(Hoja2!$H:$H,C546,Hoja2!$U:$U),0)</f>
        <v>0</v>
      </c>
      <c r="G546" s="17" t="str">
        <f>IFERROR(VLOOKUP(C546,Hoja3!$C:$D,2,FALSE),"")</f>
        <v>LUIS ENRIQUE</v>
      </c>
      <c r="H546" s="22">
        <v>46090</v>
      </c>
      <c r="I546" s="17" t="s">
        <v>163</v>
      </c>
      <c r="J546" s="17" t="s">
        <v>151</v>
      </c>
      <c r="K546" s="17" t="s">
        <v>31</v>
      </c>
      <c r="L546" s="17">
        <v>10000064</v>
      </c>
      <c r="M546" s="17" t="s">
        <v>193</v>
      </c>
      <c r="N546" s="17">
        <v>22876250</v>
      </c>
      <c r="O546" s="17" t="s">
        <v>584</v>
      </c>
      <c r="P546" s="17" t="s">
        <v>179</v>
      </c>
      <c r="Q546" s="17" t="s">
        <v>253</v>
      </c>
      <c r="R546" s="17" t="s">
        <v>584</v>
      </c>
      <c r="S546" s="17" t="s">
        <v>147</v>
      </c>
      <c r="T546" s="17" t="s">
        <v>178</v>
      </c>
      <c r="U546" s="17" t="s">
        <v>251</v>
      </c>
      <c r="V546" s="17" t="s">
        <v>583</v>
      </c>
      <c r="W546" s="17" t="s">
        <v>175</v>
      </c>
    </row>
    <row r="547" spans="1:23" x14ac:dyDescent="0.45">
      <c r="A547" s="17" t="s">
        <v>254</v>
      </c>
      <c r="B547" s="22">
        <v>46087</v>
      </c>
      <c r="C547" s="17">
        <v>151390991</v>
      </c>
      <c r="D547" s="26">
        <f>IFERROR(SUMIF(Servicios_Promotores!$B:$B,C547,Servicios_Promotores!$R:$R),0)</f>
        <v>75.000000009999994</v>
      </c>
      <c r="E547" s="26">
        <f>IFERROR(SUMIF(Pago_GERE!$B:$B,C547,Pago_GERE!$R:$R),0)</f>
        <v>75.000000009999994</v>
      </c>
      <c r="F547" s="26">
        <f>IFERROR(SUMIF(Hoja2!$H:$H,C547,Hoja2!$U:$U),0)</f>
        <v>0</v>
      </c>
      <c r="G547" s="17" t="str">
        <f>IFERROR(VLOOKUP(C547,Hoja3!$C:$D,2,FALSE),"")</f>
        <v>LUIS ENRIQUE</v>
      </c>
      <c r="H547" s="22">
        <v>46093</v>
      </c>
      <c r="I547" s="17" t="s">
        <v>152</v>
      </c>
      <c r="J547" s="17" t="s">
        <v>165</v>
      </c>
      <c r="K547" s="17" t="s">
        <v>31</v>
      </c>
      <c r="L547" s="17">
        <v>10000064</v>
      </c>
      <c r="M547" s="17" t="s">
        <v>193</v>
      </c>
      <c r="N547" s="17">
        <v>22928596</v>
      </c>
      <c r="O547" s="17" t="s">
        <v>582</v>
      </c>
      <c r="P547" s="17" t="s">
        <v>179</v>
      </c>
      <c r="Q547" s="17" t="s">
        <v>253</v>
      </c>
      <c r="R547" s="17" t="s">
        <v>582</v>
      </c>
      <c r="S547" s="17" t="s">
        <v>147</v>
      </c>
      <c r="T547" s="17" t="s">
        <v>178</v>
      </c>
      <c r="U547" s="17" t="s">
        <v>251</v>
      </c>
      <c r="V547" s="17" t="s">
        <v>581</v>
      </c>
      <c r="W547" s="17" t="s">
        <v>175</v>
      </c>
    </row>
    <row r="548" spans="1:23" x14ac:dyDescent="0.45">
      <c r="A548" s="17" t="s">
        <v>254</v>
      </c>
      <c r="B548" s="22">
        <v>46084</v>
      </c>
      <c r="C548" s="17">
        <v>151383206</v>
      </c>
      <c r="D548" s="26">
        <f>IFERROR(SUMIF(Servicios_Promotores!$B:$B,C548,Servicios_Promotores!$R:$R),0)</f>
        <v>0</v>
      </c>
      <c r="E548" s="26">
        <f>IFERROR(SUMIF(Pago_GERE!$B:$B,C548,Pago_GERE!$R:$R),0)</f>
        <v>0</v>
      </c>
      <c r="F548" s="26">
        <f>IFERROR(SUMIF(Hoja2!$H:$H,C548,Hoja2!$U:$U),0)</f>
        <v>1459</v>
      </c>
      <c r="G548" s="17" t="str">
        <f>IFERROR(VLOOKUP(C548,Hoja3!$C:$D,2,FALSE),"")</f>
        <v>LUIS ENRIQUE</v>
      </c>
      <c r="H548" s="22">
        <v>46085</v>
      </c>
      <c r="I548" s="17" t="s">
        <v>152</v>
      </c>
      <c r="J548" s="17" t="s">
        <v>151</v>
      </c>
      <c r="K548" s="17" t="s">
        <v>39</v>
      </c>
      <c r="L548" s="17">
        <v>10000064</v>
      </c>
      <c r="M548" s="17" t="s">
        <v>193</v>
      </c>
      <c r="N548" s="17">
        <v>22765664</v>
      </c>
      <c r="O548" s="17" t="s">
        <v>549</v>
      </c>
      <c r="P548" s="17" t="s">
        <v>160</v>
      </c>
      <c r="Q548" s="17" t="s">
        <v>253</v>
      </c>
      <c r="R548" s="17" t="s">
        <v>549</v>
      </c>
      <c r="S548" s="17" t="s">
        <v>147</v>
      </c>
      <c r="T548" s="17" t="s">
        <v>159</v>
      </c>
      <c r="U548" s="17" t="s">
        <v>251</v>
      </c>
      <c r="V548" s="17" t="s">
        <v>548</v>
      </c>
      <c r="W548" s="17" t="s">
        <v>547</v>
      </c>
    </row>
    <row r="549" spans="1:23" x14ac:dyDescent="0.45">
      <c r="A549" s="17" t="s">
        <v>254</v>
      </c>
      <c r="B549" s="22">
        <v>46084</v>
      </c>
      <c r="C549" s="17">
        <v>151383106</v>
      </c>
      <c r="D549" s="26">
        <f>IFERROR(SUMIF(Servicios_Promotores!$B:$B,C549,Servicios_Promotores!$R:$R),0)</f>
        <v>49.999999998</v>
      </c>
      <c r="E549" s="26">
        <f>IFERROR(SUMIF(Pago_GERE!$B:$B,C549,Pago_GERE!$R:$R),0)</f>
        <v>49.999999998</v>
      </c>
      <c r="F549" s="26">
        <f>IFERROR(SUMIF(Hoja2!$H:$H,C549,Hoja2!$U:$U),0)</f>
        <v>0</v>
      </c>
      <c r="G549" s="17" t="str">
        <f>IFERROR(VLOOKUP(C549,Hoja3!$C:$D,2,FALSE),"")</f>
        <v>LUIS ENRIQUE</v>
      </c>
      <c r="H549" s="22">
        <v>46088</v>
      </c>
      <c r="I549" s="17" t="s">
        <v>152</v>
      </c>
      <c r="J549" s="17" t="s">
        <v>165</v>
      </c>
      <c r="K549" s="17" t="s">
        <v>39</v>
      </c>
      <c r="L549" s="17">
        <v>10000064</v>
      </c>
      <c r="M549" s="17" t="s">
        <v>193</v>
      </c>
      <c r="N549" s="17">
        <v>22758735</v>
      </c>
      <c r="O549" s="17" t="s">
        <v>546</v>
      </c>
      <c r="P549" s="17" t="s">
        <v>160</v>
      </c>
      <c r="Q549" s="17" t="s">
        <v>253</v>
      </c>
      <c r="R549" s="17" t="s">
        <v>546</v>
      </c>
      <c r="S549" s="17" t="s">
        <v>147</v>
      </c>
      <c r="T549" s="17" t="s">
        <v>159</v>
      </c>
      <c r="U549" s="17" t="s">
        <v>251</v>
      </c>
      <c r="V549" s="17" t="s">
        <v>545</v>
      </c>
      <c r="W549" s="17" t="s">
        <v>539</v>
      </c>
    </row>
    <row r="550" spans="1:23" x14ac:dyDescent="0.45">
      <c r="A550" s="17" t="s">
        <v>254</v>
      </c>
      <c r="B550" s="22">
        <v>46024</v>
      </c>
      <c r="C550" s="17">
        <v>151273140</v>
      </c>
      <c r="D550" s="26">
        <f>IFERROR(SUMIF(Servicios_Promotores!$B:$B,C550,Servicios_Promotores!$R:$R),0)</f>
        <v>49.999999998</v>
      </c>
      <c r="E550" s="26">
        <f>IFERROR(SUMIF(Pago_GERE!$B:$B,C550,Pago_GERE!$R:$R),0)</f>
        <v>49.999999998</v>
      </c>
      <c r="F550" s="26">
        <f>IFERROR(SUMIF(Hoja2!$H:$H,C550,Hoja2!$U:$U),0)</f>
        <v>0</v>
      </c>
      <c r="G550" s="17" t="str">
        <f>IFERROR(VLOOKUP(C550,Hoja3!$C:$D,2,FALSE),"")</f>
        <v>MISAEL</v>
      </c>
      <c r="H550" s="22">
        <v>46086</v>
      </c>
      <c r="I550" s="17" t="s">
        <v>551</v>
      </c>
      <c r="J550" s="17" t="s">
        <v>151</v>
      </c>
      <c r="K550" s="17" t="s">
        <v>46</v>
      </c>
      <c r="L550" s="17">
        <v>10000064</v>
      </c>
      <c r="M550" s="17" t="s">
        <v>227</v>
      </c>
      <c r="N550" s="17">
        <v>21374232</v>
      </c>
      <c r="O550" s="17" t="s">
        <v>874</v>
      </c>
      <c r="P550" s="17" t="s">
        <v>868</v>
      </c>
      <c r="Q550" s="17" t="s">
        <v>253</v>
      </c>
      <c r="R550" s="17" t="s">
        <v>874</v>
      </c>
      <c r="S550" s="17" t="s">
        <v>147</v>
      </c>
      <c r="T550" s="17" t="s">
        <v>866</v>
      </c>
      <c r="U550" s="17" t="s">
        <v>251</v>
      </c>
      <c r="V550" s="17" t="s">
        <v>873</v>
      </c>
      <c r="W550" s="17" t="s">
        <v>872</v>
      </c>
    </row>
    <row r="551" spans="1:23" x14ac:dyDescent="0.45">
      <c r="A551" s="17" t="s">
        <v>1065</v>
      </c>
      <c r="B551" s="22">
        <v>46078</v>
      </c>
      <c r="C551" s="17">
        <v>151373363</v>
      </c>
      <c r="D551" s="26">
        <f>IFERROR(SUMIF(Servicios_Promotores!$B:$B,C551,Servicios_Promotores!$R:$R),0)</f>
        <v>0</v>
      </c>
      <c r="E551" s="26">
        <f>IFERROR(SUMIF(Pago_GERE!$B:$B,C551,Pago_GERE!$R:$R),0)</f>
        <v>0</v>
      </c>
      <c r="F551" s="26">
        <f>IFERROR(SUMIF(Hoja2!$H:$H,C551,Hoja2!$U:$U),0)</f>
        <v>0</v>
      </c>
      <c r="G551" s="17" t="str">
        <f>IFERROR(VLOOKUP(C551,Hoja3!$C:$D,2,FALSE),"")</f>
        <v>MISAEL</v>
      </c>
      <c r="H551" s="17"/>
      <c r="I551" s="17" t="s">
        <v>152</v>
      </c>
      <c r="J551" s="17" t="s">
        <v>151</v>
      </c>
      <c r="K551" s="17" t="s">
        <v>42</v>
      </c>
      <c r="L551" s="17">
        <v>10001013</v>
      </c>
      <c r="M551" s="17" t="s">
        <v>183</v>
      </c>
      <c r="N551" s="17">
        <v>22602959</v>
      </c>
      <c r="O551" s="17" t="s">
        <v>1066</v>
      </c>
      <c r="P551" s="17" t="s">
        <v>148</v>
      </c>
      <c r="Q551" s="17" t="s">
        <v>1064</v>
      </c>
      <c r="R551" s="17" t="s">
        <v>1066</v>
      </c>
      <c r="S551" s="17" t="s">
        <v>147</v>
      </c>
      <c r="T551" s="17" t="s">
        <v>146</v>
      </c>
      <c r="U551" s="17" t="s">
        <v>251</v>
      </c>
      <c r="V551" s="17"/>
      <c r="W551" s="17"/>
    </row>
    <row r="552" spans="1:23" x14ac:dyDescent="0.45">
      <c r="A552" s="17" t="s">
        <v>254</v>
      </c>
      <c r="B552" s="22">
        <v>46078</v>
      </c>
      <c r="C552" s="17">
        <v>151373389</v>
      </c>
      <c r="D552" s="26">
        <f>IFERROR(SUMIF(Servicios_Promotores!$B:$B,C552,Servicios_Promotores!$R:$R),0)</f>
        <v>0</v>
      </c>
      <c r="E552" s="26">
        <f>IFERROR(SUMIF(Pago_GERE!$B:$B,C552,Pago_GERE!$R:$R),0)</f>
        <v>0</v>
      </c>
      <c r="F552" s="26">
        <f>IFERROR(SUMIF(Hoja2!$H:$H,C552,Hoja2!$U:$U),0)</f>
        <v>0</v>
      </c>
      <c r="G552" s="17" t="str">
        <f>IFERROR(VLOOKUP(C552,Hoja3!$C:$D,2,FALSE),"")</f>
        <v>MITZI</v>
      </c>
      <c r="H552" s="22">
        <v>46080</v>
      </c>
      <c r="I552" s="17" t="s">
        <v>204</v>
      </c>
      <c r="J552" s="17" t="s">
        <v>151</v>
      </c>
      <c r="K552" s="17" t="s">
        <v>31</v>
      </c>
      <c r="L552" s="17">
        <v>10000064</v>
      </c>
      <c r="M552" s="17" t="s">
        <v>193</v>
      </c>
      <c r="N552" s="17">
        <v>22599322</v>
      </c>
      <c r="O552" s="17" t="s">
        <v>832</v>
      </c>
      <c r="P552" s="17" t="s">
        <v>179</v>
      </c>
      <c r="Q552" s="17" t="s">
        <v>253</v>
      </c>
      <c r="R552" s="17" t="s">
        <v>832</v>
      </c>
      <c r="S552" s="17" t="s">
        <v>155</v>
      </c>
      <c r="T552" s="17" t="s">
        <v>178</v>
      </c>
      <c r="U552" s="17" t="s">
        <v>251</v>
      </c>
      <c r="V552" s="17" t="s">
        <v>831</v>
      </c>
      <c r="W552" s="17" t="s">
        <v>447</v>
      </c>
    </row>
    <row r="553" spans="1:23" x14ac:dyDescent="0.45">
      <c r="A553" s="17" t="s">
        <v>1065</v>
      </c>
      <c r="B553" s="22">
        <v>46078</v>
      </c>
      <c r="C553" s="17">
        <v>151373435</v>
      </c>
      <c r="D553" s="26">
        <f>IFERROR(SUMIF(Servicios_Promotores!$B:$B,C553,Servicios_Promotores!$R:$R),0)</f>
        <v>0</v>
      </c>
      <c r="E553" s="26">
        <f>IFERROR(SUMIF(Pago_GERE!$B:$B,C553,Pago_GERE!$R:$R),0)</f>
        <v>0</v>
      </c>
      <c r="F553" s="26">
        <f>IFERROR(SUMIF(Hoja2!$H:$H,C553,Hoja2!$U:$U),0)</f>
        <v>0</v>
      </c>
      <c r="G553" s="17" t="str">
        <f>IFERROR(VLOOKUP(C553,Hoja3!$C:$D,2,FALSE),"")</f>
        <v>RAFAEL</v>
      </c>
      <c r="H553" s="17"/>
      <c r="I553" s="17" t="s">
        <v>152</v>
      </c>
      <c r="J553" s="17" t="s">
        <v>165</v>
      </c>
      <c r="K553" s="17" t="s">
        <v>31</v>
      </c>
      <c r="L553" s="17">
        <v>10001013</v>
      </c>
      <c r="M553" s="17" t="s">
        <v>183</v>
      </c>
      <c r="N553" s="17">
        <v>22598428</v>
      </c>
      <c r="O553" s="17" t="s">
        <v>1126</v>
      </c>
      <c r="P553" s="17" t="s">
        <v>179</v>
      </c>
      <c r="Q553" s="17" t="s">
        <v>1064</v>
      </c>
      <c r="R553" s="17" t="s">
        <v>1126</v>
      </c>
      <c r="S553" s="17" t="s">
        <v>147</v>
      </c>
      <c r="T553" s="17" t="s">
        <v>178</v>
      </c>
      <c r="U553" s="17" t="s">
        <v>251</v>
      </c>
      <c r="V553" s="17"/>
      <c r="W553" s="17"/>
    </row>
    <row r="554" spans="1:23" x14ac:dyDescent="0.45">
      <c r="A554" s="17" t="s">
        <v>254</v>
      </c>
      <c r="B554" s="22">
        <v>46078</v>
      </c>
      <c r="C554" s="17">
        <v>151373417</v>
      </c>
      <c r="D554" s="26">
        <f>IFERROR(SUMIF(Servicios_Promotores!$B:$B,C554,Servicios_Promotores!$R:$R),0)</f>
        <v>0</v>
      </c>
      <c r="E554" s="26">
        <f>IFERROR(SUMIF(Pago_GERE!$B:$B,C554,Pago_GERE!$R:$R),0)</f>
        <v>0</v>
      </c>
      <c r="F554" s="26">
        <f>IFERROR(SUMIF(Hoja2!$H:$H,C554,Hoja2!$U:$U),0)</f>
        <v>0</v>
      </c>
      <c r="G554" s="17" t="str">
        <f>IFERROR(VLOOKUP(C554,Hoja3!$C:$D,2,FALSE),"")</f>
        <v>RAFAEL</v>
      </c>
      <c r="H554" s="22">
        <v>46080</v>
      </c>
      <c r="I554" s="17" t="s">
        <v>152</v>
      </c>
      <c r="J554" s="17" t="s">
        <v>151</v>
      </c>
      <c r="K554" s="17" t="s">
        <v>31</v>
      </c>
      <c r="L554" s="17">
        <v>10001013</v>
      </c>
      <c r="M554" s="17" t="s">
        <v>183</v>
      </c>
      <c r="N554" s="17">
        <v>22599732</v>
      </c>
      <c r="O554" s="17" t="s">
        <v>837</v>
      </c>
      <c r="P554" s="17" t="s">
        <v>179</v>
      </c>
      <c r="Q554" s="17" t="s">
        <v>253</v>
      </c>
      <c r="R554" s="17" t="s">
        <v>837</v>
      </c>
      <c r="S554" s="17" t="s">
        <v>147</v>
      </c>
      <c r="T554" s="17" t="s">
        <v>178</v>
      </c>
      <c r="U554" s="17" t="s">
        <v>251</v>
      </c>
      <c r="V554" s="17" t="s">
        <v>836</v>
      </c>
      <c r="W554" s="17" t="s">
        <v>447</v>
      </c>
    </row>
    <row r="555" spans="1:23" x14ac:dyDescent="0.45">
      <c r="A555" s="17" t="s">
        <v>1065</v>
      </c>
      <c r="B555" s="22">
        <v>46078</v>
      </c>
      <c r="C555" s="17">
        <v>151373401</v>
      </c>
      <c r="D555" s="26">
        <f>IFERROR(SUMIF(Servicios_Promotores!$B:$B,C555,Servicios_Promotores!$R:$R),0)</f>
        <v>0</v>
      </c>
      <c r="E555" s="26">
        <f>IFERROR(SUMIF(Pago_GERE!$B:$B,C555,Pago_GERE!$R:$R),0)</f>
        <v>0</v>
      </c>
      <c r="F555" s="26">
        <f>IFERROR(SUMIF(Hoja2!$H:$H,C555,Hoja2!$U:$U),0)</f>
        <v>0</v>
      </c>
      <c r="G555" s="17" t="str">
        <f>IFERROR(VLOOKUP(C555,Hoja3!$C:$D,2,FALSE),"")</f>
        <v>RAFAEL</v>
      </c>
      <c r="H555" s="17"/>
      <c r="I555" s="17" t="s">
        <v>163</v>
      </c>
      <c r="J555" s="17" t="s">
        <v>151</v>
      </c>
      <c r="K555" s="17" t="s">
        <v>31</v>
      </c>
      <c r="L555" s="17">
        <v>10000064</v>
      </c>
      <c r="M555" s="17" t="s">
        <v>149</v>
      </c>
      <c r="N555" s="17">
        <v>22599858</v>
      </c>
      <c r="O555" s="17" t="s">
        <v>1125</v>
      </c>
      <c r="P555" s="17" t="s">
        <v>179</v>
      </c>
      <c r="Q555" s="17" t="s">
        <v>1064</v>
      </c>
      <c r="R555" s="17" t="s">
        <v>1125</v>
      </c>
      <c r="S555" s="17" t="s">
        <v>147</v>
      </c>
      <c r="T555" s="17" t="s">
        <v>178</v>
      </c>
      <c r="U555" s="17" t="s">
        <v>251</v>
      </c>
      <c r="V555" s="17"/>
      <c r="W555" s="17"/>
    </row>
    <row r="556" spans="1:23" x14ac:dyDescent="0.45">
      <c r="A556" s="17" t="s">
        <v>254</v>
      </c>
      <c r="B556" s="22">
        <v>46078</v>
      </c>
      <c r="C556" s="17">
        <v>151373474</v>
      </c>
      <c r="D556" s="26">
        <f>IFERROR(SUMIF(Servicios_Promotores!$B:$B,C556,Servicios_Promotores!$R:$R),0)</f>
        <v>0</v>
      </c>
      <c r="E556" s="26">
        <f>IFERROR(SUMIF(Pago_GERE!$B:$B,C556,Pago_GERE!$R:$R),0)</f>
        <v>0</v>
      </c>
      <c r="F556" s="26">
        <f>IFERROR(SUMIF(Hoja2!$H:$H,C556,Hoja2!$U:$U),0)</f>
        <v>358</v>
      </c>
      <c r="G556" s="17" t="str">
        <f>IFERROR(VLOOKUP(C556,Hoja3!$C:$D,2,FALSE),"")</f>
        <v>RAFAEL</v>
      </c>
      <c r="H556" s="22">
        <v>46087</v>
      </c>
      <c r="I556" s="17" t="s">
        <v>152</v>
      </c>
      <c r="J556" s="17" t="s">
        <v>165</v>
      </c>
      <c r="K556" s="17" t="s">
        <v>31</v>
      </c>
      <c r="L556" s="17">
        <v>10000064</v>
      </c>
      <c r="M556" s="17" t="s">
        <v>149</v>
      </c>
      <c r="N556" s="17">
        <v>22819738</v>
      </c>
      <c r="O556" s="17" t="s">
        <v>838</v>
      </c>
      <c r="P556" s="17" t="s">
        <v>179</v>
      </c>
      <c r="Q556" s="17" t="s">
        <v>253</v>
      </c>
      <c r="R556" s="17" t="s">
        <v>838</v>
      </c>
      <c r="S556" s="17" t="s">
        <v>147</v>
      </c>
      <c r="T556" s="17" t="s">
        <v>178</v>
      </c>
      <c r="U556" s="17" t="s">
        <v>251</v>
      </c>
      <c r="V556" s="17" t="s">
        <v>448</v>
      </c>
      <c r="W556" s="17" t="s">
        <v>447</v>
      </c>
    </row>
    <row r="557" spans="1:23" x14ac:dyDescent="0.45">
      <c r="A557" s="17" t="s">
        <v>254</v>
      </c>
      <c r="B557" s="22">
        <v>46079</v>
      </c>
      <c r="C557" s="17">
        <v>151375541</v>
      </c>
      <c r="D557" s="26">
        <f>IFERROR(SUMIF(Servicios_Promotores!$B:$B,C557,Servicios_Promotores!$R:$R),0)</f>
        <v>49.999999998</v>
      </c>
      <c r="E557" s="26">
        <f>IFERROR(SUMIF(Pago_GERE!$B:$B,C557,Pago_GERE!$R:$R),0)</f>
        <v>49.999999998</v>
      </c>
      <c r="F557" s="26">
        <f>IFERROR(SUMIF(Hoja2!$H:$H,C557,Hoja2!$U:$U),0)</f>
        <v>0</v>
      </c>
      <c r="G557" s="17" t="str">
        <f>IFERROR(VLOOKUP(C557,Hoja3!$C:$D,2,FALSE),"")</f>
        <v>RAFAEL</v>
      </c>
      <c r="H557" s="22">
        <v>46083</v>
      </c>
      <c r="I557" s="17" t="s">
        <v>152</v>
      </c>
      <c r="J557" s="17" t="s">
        <v>165</v>
      </c>
      <c r="K557" s="17" t="s">
        <v>31</v>
      </c>
      <c r="L557" s="17">
        <v>10001013</v>
      </c>
      <c r="M557" s="17" t="s">
        <v>196</v>
      </c>
      <c r="N557" s="17">
        <v>22624366</v>
      </c>
      <c r="O557" s="17" t="s">
        <v>843</v>
      </c>
      <c r="P557" s="17" t="s">
        <v>179</v>
      </c>
      <c r="Q557" s="17" t="s">
        <v>253</v>
      </c>
      <c r="R557" s="17" t="s">
        <v>843</v>
      </c>
      <c r="S557" s="17" t="s">
        <v>147</v>
      </c>
      <c r="T557" s="17" t="s">
        <v>178</v>
      </c>
      <c r="U557" s="17" t="s">
        <v>251</v>
      </c>
      <c r="V557" s="17" t="s">
        <v>831</v>
      </c>
      <c r="W557" s="17" t="s">
        <v>447</v>
      </c>
    </row>
    <row r="558" spans="1:23" x14ac:dyDescent="0.45">
      <c r="A558" s="17" t="s">
        <v>254</v>
      </c>
      <c r="B558" s="22">
        <v>46079</v>
      </c>
      <c r="C558" s="17">
        <v>151375445</v>
      </c>
      <c r="D558" s="26">
        <f>IFERROR(SUMIF(Servicios_Promotores!$B:$B,C558,Servicios_Promotores!$R:$R),0)</f>
        <v>0</v>
      </c>
      <c r="E558" s="26">
        <f>IFERROR(SUMIF(Pago_GERE!$B:$B,C558,Pago_GERE!$R:$R),0)</f>
        <v>0</v>
      </c>
      <c r="F558" s="26">
        <f>IFERROR(SUMIF(Hoja2!$H:$H,C558,Hoja2!$U:$U),0)</f>
        <v>410</v>
      </c>
      <c r="G558" s="17" t="str">
        <f>IFERROR(VLOOKUP(C558,Hoja3!$C:$D,2,FALSE),"")</f>
        <v>RAFAEL</v>
      </c>
      <c r="H558" s="22">
        <v>46086</v>
      </c>
      <c r="I558" s="17" t="s">
        <v>197</v>
      </c>
      <c r="J558" s="17" t="s">
        <v>165</v>
      </c>
      <c r="K558" s="17" t="s">
        <v>39</v>
      </c>
      <c r="L558" s="17">
        <v>10001013</v>
      </c>
      <c r="M558" s="17" t="s">
        <v>196</v>
      </c>
      <c r="N558" s="17">
        <v>22797377</v>
      </c>
      <c r="O558" s="17" t="s">
        <v>842</v>
      </c>
      <c r="P558" s="17" t="s">
        <v>160</v>
      </c>
      <c r="Q558" s="17" t="s">
        <v>253</v>
      </c>
      <c r="R558" s="17" t="s">
        <v>842</v>
      </c>
      <c r="S558" s="17" t="s">
        <v>147</v>
      </c>
      <c r="T558" s="17" t="s">
        <v>159</v>
      </c>
      <c r="U558" s="17" t="s">
        <v>251</v>
      </c>
      <c r="V558" s="17" t="s">
        <v>841</v>
      </c>
      <c r="W558" s="17" t="s">
        <v>840</v>
      </c>
    </row>
    <row r="559" spans="1:23" x14ac:dyDescent="0.45">
      <c r="A559" s="17" t="s">
        <v>254</v>
      </c>
      <c r="B559" s="22">
        <v>46093</v>
      </c>
      <c r="C559" s="17">
        <v>151401517</v>
      </c>
      <c r="D559" s="26">
        <f>IFERROR(SUMIF(Servicios_Promotores!$B:$B,C559,Servicios_Promotores!$R:$R),0)</f>
        <v>0</v>
      </c>
      <c r="E559" s="26">
        <f>IFERROR(SUMIF(Pago_GERE!$B:$B,C559,Pago_GERE!$R:$R),0)</f>
        <v>0</v>
      </c>
      <c r="F559" s="26">
        <f>IFERROR(SUMIF(Hoja2!$H:$H,C559,Hoja2!$U:$U),0)</f>
        <v>1298</v>
      </c>
      <c r="G559" s="17" t="str">
        <f>IFERROR(VLOOKUP(C559,Hoja3!$C:$D,2,FALSE),"")</f>
        <v>RAFAEL</v>
      </c>
      <c r="H559" s="22">
        <v>46094</v>
      </c>
      <c r="I559" s="17" t="s">
        <v>163</v>
      </c>
      <c r="J559" s="17" t="s">
        <v>151</v>
      </c>
      <c r="K559" s="17" t="s">
        <v>42</v>
      </c>
      <c r="L559" s="17">
        <v>10001013</v>
      </c>
      <c r="M559" s="17" t="s">
        <v>196</v>
      </c>
      <c r="N559" s="17">
        <v>22994224</v>
      </c>
      <c r="O559" s="17" t="s">
        <v>642</v>
      </c>
      <c r="P559" s="17" t="s">
        <v>192</v>
      </c>
      <c r="Q559" s="17" t="s">
        <v>253</v>
      </c>
      <c r="R559" s="17" t="s">
        <v>642</v>
      </c>
      <c r="S559" s="17" t="s">
        <v>147</v>
      </c>
      <c r="T559" s="17" t="s">
        <v>146</v>
      </c>
      <c r="U559" s="17" t="s">
        <v>251</v>
      </c>
      <c r="V559" s="17" t="s">
        <v>637</v>
      </c>
      <c r="W559" s="17" t="s">
        <v>636</v>
      </c>
    </row>
    <row r="560" spans="1:23" x14ac:dyDescent="0.45">
      <c r="A560" s="17" t="s">
        <v>254</v>
      </c>
      <c r="B560" s="22">
        <v>46092</v>
      </c>
      <c r="C560" s="17">
        <v>151399011</v>
      </c>
      <c r="D560" s="26">
        <f>IFERROR(SUMIF(Servicios_Promotores!$B:$B,C560,Servicios_Promotores!$R:$R),0)</f>
        <v>84.665000010499995</v>
      </c>
      <c r="E560" s="26">
        <f>IFERROR(SUMIF(Pago_GERE!$B:$B,C560,Pago_GERE!$R:$R),0)</f>
        <v>108.66500000849999</v>
      </c>
      <c r="F560" s="26">
        <f>IFERROR(SUMIF(Hoja2!$H:$H,C560,Hoja2!$U:$U),0)</f>
        <v>0</v>
      </c>
      <c r="G560" s="17" t="str">
        <f>IFERROR(VLOOKUP(C560,Hoja3!$C:$D,2,FALSE),"")</f>
        <v>RAFAEL</v>
      </c>
      <c r="H560" s="22">
        <v>46098</v>
      </c>
      <c r="I560" s="17" t="s">
        <v>152</v>
      </c>
      <c r="J560" s="17" t="s">
        <v>165</v>
      </c>
      <c r="K560" s="17" t="s">
        <v>42</v>
      </c>
      <c r="L560" s="17">
        <v>10001013</v>
      </c>
      <c r="M560" s="17" t="s">
        <v>196</v>
      </c>
      <c r="N560" s="17">
        <v>22953598</v>
      </c>
      <c r="O560" s="17" t="s">
        <v>629</v>
      </c>
      <c r="P560" s="17" t="s">
        <v>224</v>
      </c>
      <c r="Q560" s="17" t="s">
        <v>253</v>
      </c>
      <c r="R560" s="17" t="s">
        <v>629</v>
      </c>
      <c r="S560" s="17" t="s">
        <v>147</v>
      </c>
      <c r="T560" s="17" t="s">
        <v>223</v>
      </c>
      <c r="U560" s="17" t="s">
        <v>251</v>
      </c>
      <c r="V560" s="17" t="s">
        <v>628</v>
      </c>
      <c r="W560" s="17" t="s">
        <v>264</v>
      </c>
    </row>
    <row r="561" spans="1:23" x14ac:dyDescent="0.45">
      <c r="A561" s="17" t="s">
        <v>254</v>
      </c>
      <c r="B561" s="22">
        <v>46091</v>
      </c>
      <c r="C561" s="17">
        <v>151396668</v>
      </c>
      <c r="D561" s="26">
        <f>IFERROR(SUMIF(Servicios_Promotores!$B:$B,C561,Servicios_Promotores!$R:$R),0)</f>
        <v>75.000000009999994</v>
      </c>
      <c r="E561" s="26">
        <f>IFERROR(SUMIF(Pago_GERE!$B:$B,C561,Pago_GERE!$R:$R),0)</f>
        <v>75.000000009999994</v>
      </c>
      <c r="F561" s="26">
        <f>IFERROR(SUMIF(Hoja2!$H:$H,C561,Hoja2!$U:$U),0)</f>
        <v>0</v>
      </c>
      <c r="G561" s="17" t="str">
        <f>IFERROR(VLOOKUP(C561,Hoja3!$C:$D,2,FALSE),"")</f>
        <v>RAFAEL</v>
      </c>
      <c r="H561" s="22">
        <v>46093</v>
      </c>
      <c r="I561" s="17" t="s">
        <v>163</v>
      </c>
      <c r="J561" s="17" t="s">
        <v>151</v>
      </c>
      <c r="K561" s="17" t="s">
        <v>62</v>
      </c>
      <c r="L561" s="17">
        <v>10001013</v>
      </c>
      <c r="M561" s="17" t="s">
        <v>196</v>
      </c>
      <c r="N561" s="17">
        <v>22932973</v>
      </c>
      <c r="O561" s="17" t="s">
        <v>606</v>
      </c>
      <c r="P561" s="17" t="s">
        <v>607</v>
      </c>
      <c r="Q561" s="17" t="s">
        <v>253</v>
      </c>
      <c r="R561" s="17" t="s">
        <v>606</v>
      </c>
      <c r="S561" s="17" t="s">
        <v>147</v>
      </c>
      <c r="T561" s="17" t="s">
        <v>187</v>
      </c>
      <c r="U561" s="17" t="s">
        <v>251</v>
      </c>
      <c r="V561" s="17" t="s">
        <v>605</v>
      </c>
      <c r="W561" s="17" t="s">
        <v>531</v>
      </c>
    </row>
    <row r="562" spans="1:23" x14ac:dyDescent="0.45">
      <c r="A562" s="17" t="s">
        <v>254</v>
      </c>
      <c r="B562" s="22">
        <v>46086</v>
      </c>
      <c r="C562" s="17">
        <v>151388741</v>
      </c>
      <c r="D562" s="26">
        <f>IFERROR(SUMIF(Servicios_Promotores!$B:$B,C562,Servicios_Promotores!$R:$R),0)</f>
        <v>49.999999998</v>
      </c>
      <c r="E562" s="26">
        <f>IFERROR(SUMIF(Pago_GERE!$B:$B,C562,Pago_GERE!$R:$R),0)</f>
        <v>49.999999998</v>
      </c>
      <c r="F562" s="26">
        <f>IFERROR(SUMIF(Hoja2!$H:$H,C562,Hoja2!$U:$U),0)</f>
        <v>0</v>
      </c>
      <c r="G562" s="17" t="str">
        <f>IFERROR(VLOOKUP(C562,Hoja3!$C:$D,2,FALSE),"")</f>
        <v>RAFAEL</v>
      </c>
      <c r="H562" s="22">
        <v>46088</v>
      </c>
      <c r="I562" s="17" t="s">
        <v>163</v>
      </c>
      <c r="J562" s="17" t="s">
        <v>151</v>
      </c>
      <c r="K562" s="17" t="s">
        <v>31</v>
      </c>
      <c r="L562" s="17">
        <v>10001013</v>
      </c>
      <c r="M562" s="17" t="s">
        <v>196</v>
      </c>
      <c r="N562" s="17">
        <v>22806551</v>
      </c>
      <c r="O562" s="17" t="s">
        <v>573</v>
      </c>
      <c r="P562" s="17" t="s">
        <v>179</v>
      </c>
      <c r="Q562" s="17" t="s">
        <v>253</v>
      </c>
      <c r="R562" s="17" t="s">
        <v>573</v>
      </c>
      <c r="S562" s="17" t="s">
        <v>147</v>
      </c>
      <c r="T562" s="17" t="s">
        <v>178</v>
      </c>
      <c r="U562" s="17" t="s">
        <v>251</v>
      </c>
      <c r="V562" s="17" t="s">
        <v>505</v>
      </c>
      <c r="W562" s="17" t="s">
        <v>175</v>
      </c>
    </row>
    <row r="563" spans="1:23" x14ac:dyDescent="0.45">
      <c r="A563" s="23" t="s">
        <v>254</v>
      </c>
      <c r="B563" s="24">
        <v>46078</v>
      </c>
      <c r="C563" s="23">
        <v>151373507</v>
      </c>
      <c r="D563" s="27">
        <f>IFERROR(SUMIF(Servicios_Promotores!$B:$B,C563,Servicios_Promotores!$R:$R),0)</f>
        <v>0</v>
      </c>
      <c r="E563" s="27">
        <f>IFERROR(SUMIF(Pago_GERE!$B:$B,C563,Pago_GERE!$R:$R),0)</f>
        <v>0</v>
      </c>
      <c r="F563" s="27">
        <f>IFERROR(SUMIF(Hoja2!$H:$H,C563,Hoja2!$U:$U),0)</f>
        <v>0</v>
      </c>
      <c r="G563" s="23" t="str">
        <f>IFERROR(VLOOKUP(C563,Hoja3!$C:$D,2,FALSE),"")</f>
        <v>ULISES</v>
      </c>
      <c r="H563" s="24">
        <v>46083</v>
      </c>
      <c r="I563" s="23" t="s">
        <v>152</v>
      </c>
      <c r="J563" s="23" t="s">
        <v>165</v>
      </c>
      <c r="K563" s="23" t="s">
        <v>55</v>
      </c>
      <c r="L563" s="23">
        <v>10000064</v>
      </c>
      <c r="M563" s="23" t="s">
        <v>193</v>
      </c>
      <c r="N563" s="23">
        <v>22720529</v>
      </c>
      <c r="O563" s="23" t="s">
        <v>835</v>
      </c>
      <c r="P563" s="23" t="s">
        <v>534</v>
      </c>
      <c r="Q563" s="23" t="s">
        <v>253</v>
      </c>
      <c r="R563" s="23" t="s">
        <v>835</v>
      </c>
      <c r="S563" s="23" t="s">
        <v>147</v>
      </c>
      <c r="T563" s="23" t="s">
        <v>55</v>
      </c>
      <c r="U563" s="23" t="s">
        <v>251</v>
      </c>
      <c r="V563" s="23" t="s">
        <v>834</v>
      </c>
      <c r="W563" s="23" t="s">
        <v>501</v>
      </c>
    </row>
  </sheetData>
  <sortState xmlns:xlrd2="http://schemas.microsoft.com/office/spreadsheetml/2017/richdata2" ref="A2:W563">
    <sortCondition ref="G1:G563"/>
  </sortState>
  <conditionalFormatting sqref="D2:D563">
    <cfRule type="expression" dxfId="310" priority="1">
      <formula>AND(D2&lt;&gt;0,D2&lt;&gt;"")</formula>
    </cfRule>
  </conditionalFormatting>
  <conditionalFormatting sqref="E2:E563">
    <cfRule type="expression" dxfId="309" priority="4">
      <formula>AND(E2&lt;&gt;0,E2&lt;&gt;"")</formula>
    </cfRule>
  </conditionalFormatting>
  <conditionalFormatting sqref="F2:F563">
    <cfRule type="expression" dxfId="308" priority="3">
      <formula>AND(F2&lt;&gt;0,F2&lt;&gt;"")</formula>
    </cfRule>
  </conditionalFormatting>
  <conditionalFormatting sqref="G2:G563">
    <cfRule type="expression" dxfId="307" priority="5">
      <formula>AND(G2&lt;&gt;"",G2&lt;&gt;0)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FE8F-1EB6-4FC3-B802-B78C26EF88F1}">
  <dimension ref="A1:D558"/>
  <sheetViews>
    <sheetView topLeftCell="A210" workbookViewId="0">
      <selection activeCell="G232" sqref="G232"/>
    </sheetView>
  </sheetViews>
  <sheetFormatPr baseColWidth="10" defaultColWidth="10.73046875" defaultRowHeight="14.25" x14ac:dyDescent="0.45"/>
  <cols>
    <col min="3" max="3" width="9.9296875" bestFit="1" customWidth="1"/>
    <col min="4" max="4" width="23.46484375" style="18" customWidth="1"/>
  </cols>
  <sheetData>
    <row r="1" spans="1:4" x14ac:dyDescent="0.45">
      <c r="A1" s="6" t="s">
        <v>1144</v>
      </c>
      <c r="B1" s="6" t="s">
        <v>1143</v>
      </c>
      <c r="C1" s="6" t="s">
        <v>1142</v>
      </c>
      <c r="D1" s="15" t="s">
        <v>1526</v>
      </c>
    </row>
    <row r="2" spans="1:4" x14ac:dyDescent="0.45">
      <c r="A2" s="2" t="s">
        <v>254</v>
      </c>
      <c r="B2" s="3">
        <v>46037</v>
      </c>
      <c r="C2" s="2">
        <v>151298098</v>
      </c>
      <c r="D2" s="17" t="s">
        <v>1546</v>
      </c>
    </row>
    <row r="3" spans="1:4" x14ac:dyDescent="0.45">
      <c r="A3" s="2" t="s">
        <v>254</v>
      </c>
      <c r="B3" s="3">
        <v>46038</v>
      </c>
      <c r="C3" s="2">
        <v>151300111</v>
      </c>
      <c r="D3" s="17" t="s">
        <v>1546</v>
      </c>
    </row>
    <row r="4" spans="1:4" x14ac:dyDescent="0.45">
      <c r="A4" s="4" t="s">
        <v>1065</v>
      </c>
      <c r="B4" s="5">
        <v>46038</v>
      </c>
      <c r="C4" s="4">
        <v>151300232</v>
      </c>
      <c r="D4" s="17" t="s">
        <v>1546</v>
      </c>
    </row>
    <row r="5" spans="1:4" x14ac:dyDescent="0.45">
      <c r="A5" s="2" t="s">
        <v>1065</v>
      </c>
      <c r="B5" s="3">
        <v>46038</v>
      </c>
      <c r="C5" s="2">
        <v>151300277</v>
      </c>
      <c r="D5" s="17" t="s">
        <v>1546</v>
      </c>
    </row>
    <row r="6" spans="1:4" x14ac:dyDescent="0.45">
      <c r="A6" s="4" t="s">
        <v>254</v>
      </c>
      <c r="B6" s="5">
        <v>46038</v>
      </c>
      <c r="C6" s="4">
        <v>151300473</v>
      </c>
      <c r="D6" s="17" t="s">
        <v>1546</v>
      </c>
    </row>
    <row r="7" spans="1:4" x14ac:dyDescent="0.45">
      <c r="A7" s="4" t="s">
        <v>254</v>
      </c>
      <c r="B7" s="5">
        <v>46039</v>
      </c>
      <c r="C7" s="4">
        <v>151301741</v>
      </c>
      <c r="D7" s="17" t="s">
        <v>1546</v>
      </c>
    </row>
    <row r="8" spans="1:4" x14ac:dyDescent="0.45">
      <c r="A8" s="2"/>
      <c r="B8" s="3">
        <v>46041</v>
      </c>
      <c r="C8" s="2">
        <v>151303987</v>
      </c>
      <c r="D8" s="17" t="s">
        <v>1546</v>
      </c>
    </row>
    <row r="9" spans="1:4" x14ac:dyDescent="0.45">
      <c r="A9" s="4" t="s">
        <v>254</v>
      </c>
      <c r="B9" s="5">
        <v>46041</v>
      </c>
      <c r="C9" s="4">
        <v>151304427</v>
      </c>
      <c r="D9" s="17" t="s">
        <v>1546</v>
      </c>
    </row>
    <row r="10" spans="1:4" x14ac:dyDescent="0.45">
      <c r="A10" s="4" t="s">
        <v>254</v>
      </c>
      <c r="B10" s="5">
        <v>46041</v>
      </c>
      <c r="C10" s="4">
        <v>151304540</v>
      </c>
      <c r="D10" s="17" t="s">
        <v>1546</v>
      </c>
    </row>
    <row r="11" spans="1:4" x14ac:dyDescent="0.45">
      <c r="A11" s="4" t="s">
        <v>254</v>
      </c>
      <c r="B11" s="5">
        <v>46041</v>
      </c>
      <c r="C11" s="4">
        <v>151304593</v>
      </c>
      <c r="D11" s="17" t="s">
        <v>1546</v>
      </c>
    </row>
    <row r="12" spans="1:4" x14ac:dyDescent="0.45">
      <c r="A12" s="2" t="s">
        <v>254</v>
      </c>
      <c r="B12" s="3">
        <v>46041</v>
      </c>
      <c r="C12" s="2">
        <v>151304676</v>
      </c>
      <c r="D12" s="17" t="s">
        <v>1546</v>
      </c>
    </row>
    <row r="13" spans="1:4" x14ac:dyDescent="0.45">
      <c r="A13" s="2" t="s">
        <v>1065</v>
      </c>
      <c r="B13" s="3">
        <v>46041</v>
      </c>
      <c r="C13" s="2">
        <v>151304785</v>
      </c>
      <c r="D13" s="17" t="s">
        <v>1546</v>
      </c>
    </row>
    <row r="14" spans="1:4" x14ac:dyDescent="0.45">
      <c r="A14" s="2" t="s">
        <v>254</v>
      </c>
      <c r="B14" s="3">
        <v>46041</v>
      </c>
      <c r="C14" s="2">
        <v>151304953</v>
      </c>
      <c r="D14" s="17" t="s">
        <v>1546</v>
      </c>
    </row>
    <row r="15" spans="1:4" x14ac:dyDescent="0.45">
      <c r="A15" s="4" t="s">
        <v>254</v>
      </c>
      <c r="B15" s="5">
        <v>46041</v>
      </c>
      <c r="C15" s="4">
        <v>151304957</v>
      </c>
      <c r="D15" s="17" t="s">
        <v>1546</v>
      </c>
    </row>
    <row r="16" spans="1:4" x14ac:dyDescent="0.45">
      <c r="A16" s="2" t="s">
        <v>254</v>
      </c>
      <c r="B16" s="3">
        <v>46041</v>
      </c>
      <c r="C16" s="2">
        <v>151304969</v>
      </c>
      <c r="D16" s="17" t="s">
        <v>1546</v>
      </c>
    </row>
    <row r="17" spans="1:4" x14ac:dyDescent="0.45">
      <c r="A17" s="2" t="s">
        <v>254</v>
      </c>
      <c r="B17" s="3">
        <v>46041</v>
      </c>
      <c r="C17" s="2">
        <v>151305002</v>
      </c>
      <c r="D17" s="17" t="s">
        <v>1546</v>
      </c>
    </row>
    <row r="18" spans="1:4" x14ac:dyDescent="0.45">
      <c r="A18" s="4" t="s">
        <v>254</v>
      </c>
      <c r="B18" s="5">
        <v>46042</v>
      </c>
      <c r="C18" s="4">
        <v>151306053</v>
      </c>
      <c r="D18" s="17" t="s">
        <v>1546</v>
      </c>
    </row>
    <row r="19" spans="1:4" x14ac:dyDescent="0.45">
      <c r="A19" s="4" t="s">
        <v>254</v>
      </c>
      <c r="B19" s="5">
        <v>46042</v>
      </c>
      <c r="C19" s="4">
        <v>151306689</v>
      </c>
      <c r="D19" s="17" t="s">
        <v>1546</v>
      </c>
    </row>
    <row r="20" spans="1:4" x14ac:dyDescent="0.45">
      <c r="A20" s="2" t="s">
        <v>254</v>
      </c>
      <c r="B20" s="3">
        <v>46042</v>
      </c>
      <c r="C20" s="2">
        <v>151307166</v>
      </c>
      <c r="D20" s="17" t="s">
        <v>1546</v>
      </c>
    </row>
    <row r="21" spans="1:4" x14ac:dyDescent="0.45">
      <c r="A21" s="4" t="s">
        <v>1065</v>
      </c>
      <c r="B21" s="5">
        <v>46042</v>
      </c>
      <c r="C21" s="4">
        <v>151307192</v>
      </c>
      <c r="D21" s="17" t="s">
        <v>1546</v>
      </c>
    </row>
    <row r="22" spans="1:4" x14ac:dyDescent="0.45">
      <c r="A22" s="2" t="s">
        <v>254</v>
      </c>
      <c r="B22" s="3">
        <v>46042</v>
      </c>
      <c r="C22" s="2">
        <v>151307198</v>
      </c>
      <c r="D22" s="17" t="s">
        <v>1546</v>
      </c>
    </row>
    <row r="23" spans="1:4" x14ac:dyDescent="0.45">
      <c r="A23" s="4"/>
      <c r="B23" s="5">
        <v>46042</v>
      </c>
      <c r="C23" s="4">
        <v>151307212</v>
      </c>
      <c r="D23" s="17" t="s">
        <v>1546</v>
      </c>
    </row>
    <row r="24" spans="1:4" x14ac:dyDescent="0.45">
      <c r="A24" s="2" t="s">
        <v>254</v>
      </c>
      <c r="B24" s="3">
        <v>46042</v>
      </c>
      <c r="C24" s="2">
        <v>151307275</v>
      </c>
      <c r="D24" s="17" t="s">
        <v>1546</v>
      </c>
    </row>
    <row r="25" spans="1:4" x14ac:dyDescent="0.45">
      <c r="A25" s="4" t="s">
        <v>254</v>
      </c>
      <c r="B25" s="5">
        <v>46042</v>
      </c>
      <c r="C25" s="4">
        <v>151307389</v>
      </c>
      <c r="D25" s="17" t="s">
        <v>1546</v>
      </c>
    </row>
    <row r="26" spans="1:4" x14ac:dyDescent="0.45">
      <c r="A26" s="4" t="s">
        <v>254</v>
      </c>
      <c r="B26" s="5">
        <v>46043</v>
      </c>
      <c r="C26" s="4">
        <v>151309189</v>
      </c>
      <c r="D26" s="17" t="s">
        <v>1546</v>
      </c>
    </row>
    <row r="27" spans="1:4" x14ac:dyDescent="0.45">
      <c r="A27" s="4"/>
      <c r="B27" s="5">
        <v>46043</v>
      </c>
      <c r="C27" s="4">
        <v>151309190</v>
      </c>
      <c r="D27" s="17" t="s">
        <v>1546</v>
      </c>
    </row>
    <row r="28" spans="1:4" x14ac:dyDescent="0.45">
      <c r="A28" s="2"/>
      <c r="B28" s="3">
        <v>46043</v>
      </c>
      <c r="C28" s="2">
        <v>151309200</v>
      </c>
      <c r="D28" s="17" t="s">
        <v>1546</v>
      </c>
    </row>
    <row r="29" spans="1:4" x14ac:dyDescent="0.45">
      <c r="A29" s="2" t="s">
        <v>254</v>
      </c>
      <c r="B29" s="3">
        <v>46043</v>
      </c>
      <c r="C29" s="2">
        <v>151309214</v>
      </c>
      <c r="D29" s="17" t="s">
        <v>1546</v>
      </c>
    </row>
    <row r="30" spans="1:4" x14ac:dyDescent="0.45">
      <c r="A30" s="2" t="s">
        <v>254</v>
      </c>
      <c r="B30" s="3">
        <v>46043</v>
      </c>
      <c r="C30" s="2">
        <v>151309258</v>
      </c>
      <c r="D30" s="17" t="s">
        <v>1546</v>
      </c>
    </row>
    <row r="31" spans="1:4" x14ac:dyDescent="0.45">
      <c r="A31" s="2"/>
      <c r="B31" s="3">
        <v>46043</v>
      </c>
      <c r="C31" s="2">
        <v>151309309</v>
      </c>
      <c r="D31" s="17" t="s">
        <v>1546</v>
      </c>
    </row>
    <row r="32" spans="1:4" x14ac:dyDescent="0.45">
      <c r="A32" s="4" t="s">
        <v>1065</v>
      </c>
      <c r="B32" s="5">
        <v>46043</v>
      </c>
      <c r="C32" s="4">
        <v>151309342</v>
      </c>
      <c r="D32" s="17" t="s">
        <v>1546</v>
      </c>
    </row>
    <row r="33" spans="1:4" x14ac:dyDescent="0.45">
      <c r="A33" s="4"/>
      <c r="B33" s="5">
        <v>46043</v>
      </c>
      <c r="C33" s="4">
        <v>151309387</v>
      </c>
      <c r="D33" s="17" t="s">
        <v>1546</v>
      </c>
    </row>
    <row r="34" spans="1:4" x14ac:dyDescent="0.45">
      <c r="A34" s="4" t="s">
        <v>254</v>
      </c>
      <c r="B34" s="5">
        <v>46043</v>
      </c>
      <c r="C34" s="4">
        <v>151309423</v>
      </c>
      <c r="D34" s="17" t="s">
        <v>1546</v>
      </c>
    </row>
    <row r="35" spans="1:4" x14ac:dyDescent="0.45">
      <c r="A35" s="4" t="s">
        <v>254</v>
      </c>
      <c r="B35" s="5">
        <v>46043</v>
      </c>
      <c r="C35" s="4">
        <v>151309427</v>
      </c>
      <c r="D35" s="17" t="s">
        <v>1546</v>
      </c>
    </row>
    <row r="36" spans="1:4" x14ac:dyDescent="0.45">
      <c r="A36" s="2" t="s">
        <v>1065</v>
      </c>
      <c r="B36" s="3">
        <v>46043</v>
      </c>
      <c r="C36" s="2">
        <v>151309431</v>
      </c>
      <c r="D36" s="17" t="s">
        <v>1546</v>
      </c>
    </row>
    <row r="37" spans="1:4" x14ac:dyDescent="0.45">
      <c r="A37" s="2" t="s">
        <v>254</v>
      </c>
      <c r="B37" s="3">
        <v>46043</v>
      </c>
      <c r="C37" s="2">
        <v>151309464</v>
      </c>
      <c r="D37" s="17" t="s">
        <v>1546</v>
      </c>
    </row>
    <row r="38" spans="1:4" x14ac:dyDescent="0.45">
      <c r="A38" s="4" t="s">
        <v>254</v>
      </c>
      <c r="B38" s="5">
        <v>46044</v>
      </c>
      <c r="C38" s="4">
        <v>151309793</v>
      </c>
      <c r="D38" s="17" t="s">
        <v>1546</v>
      </c>
    </row>
    <row r="39" spans="1:4" x14ac:dyDescent="0.45">
      <c r="A39" s="2" t="s">
        <v>254</v>
      </c>
      <c r="B39" s="3">
        <v>46044</v>
      </c>
      <c r="C39" s="2">
        <v>151310699</v>
      </c>
      <c r="D39" s="17" t="s">
        <v>1546</v>
      </c>
    </row>
    <row r="40" spans="1:4" x14ac:dyDescent="0.45">
      <c r="A40" s="4" t="s">
        <v>1065</v>
      </c>
      <c r="B40" s="5">
        <v>46044</v>
      </c>
      <c r="C40" s="4">
        <v>151310857</v>
      </c>
      <c r="D40" s="17" t="s">
        <v>1546</v>
      </c>
    </row>
    <row r="41" spans="1:4" x14ac:dyDescent="0.45">
      <c r="A41" s="2" t="s">
        <v>1065</v>
      </c>
      <c r="B41" s="3">
        <v>46044</v>
      </c>
      <c r="C41" s="2">
        <v>151311031</v>
      </c>
      <c r="D41" s="17" t="s">
        <v>1546</v>
      </c>
    </row>
    <row r="42" spans="1:4" x14ac:dyDescent="0.45">
      <c r="A42" s="2"/>
      <c r="B42" s="3">
        <v>46044</v>
      </c>
      <c r="C42" s="2">
        <v>151311166</v>
      </c>
      <c r="D42" s="17" t="s">
        <v>1546</v>
      </c>
    </row>
    <row r="43" spans="1:4" x14ac:dyDescent="0.45">
      <c r="A43" s="4" t="s">
        <v>1065</v>
      </c>
      <c r="B43" s="5">
        <v>46044</v>
      </c>
      <c r="C43" s="4">
        <v>151311375</v>
      </c>
      <c r="D43" s="17" t="s">
        <v>1546</v>
      </c>
    </row>
    <row r="44" spans="1:4" x14ac:dyDescent="0.45">
      <c r="A44" s="4" t="s">
        <v>254</v>
      </c>
      <c r="B44" s="5">
        <v>46044</v>
      </c>
      <c r="C44" s="4">
        <v>151311431</v>
      </c>
      <c r="D44" s="17" t="s">
        <v>1546</v>
      </c>
    </row>
    <row r="45" spans="1:4" x14ac:dyDescent="0.45">
      <c r="A45" s="2" t="s">
        <v>254</v>
      </c>
      <c r="B45" s="3">
        <v>46044</v>
      </c>
      <c r="C45" s="2">
        <v>151311461</v>
      </c>
      <c r="D45" s="17" t="s">
        <v>1546</v>
      </c>
    </row>
    <row r="46" spans="1:4" x14ac:dyDescent="0.45">
      <c r="A46" s="2" t="s">
        <v>254</v>
      </c>
      <c r="B46" s="3">
        <v>46044</v>
      </c>
      <c r="C46" s="2">
        <v>151311488</v>
      </c>
      <c r="D46" s="17" t="s">
        <v>1546</v>
      </c>
    </row>
    <row r="47" spans="1:4" x14ac:dyDescent="0.45">
      <c r="A47" s="2" t="s">
        <v>1065</v>
      </c>
      <c r="B47" s="3">
        <v>46044</v>
      </c>
      <c r="C47" s="2">
        <v>151311527</v>
      </c>
      <c r="D47" s="17" t="s">
        <v>1546</v>
      </c>
    </row>
    <row r="48" spans="1:4" x14ac:dyDescent="0.45">
      <c r="A48" s="4" t="s">
        <v>254</v>
      </c>
      <c r="B48" s="5">
        <v>46085</v>
      </c>
      <c r="C48" s="4">
        <v>151386817</v>
      </c>
      <c r="D48" s="17" t="s">
        <v>1546</v>
      </c>
    </row>
    <row r="49" spans="1:4" x14ac:dyDescent="0.45">
      <c r="A49" s="4" t="s">
        <v>254</v>
      </c>
      <c r="B49" s="5">
        <v>46086</v>
      </c>
      <c r="C49" s="4">
        <v>151388766</v>
      </c>
      <c r="D49" s="17" t="s">
        <v>1546</v>
      </c>
    </row>
    <row r="50" spans="1:4" x14ac:dyDescent="0.45">
      <c r="A50" s="2" t="s">
        <v>254</v>
      </c>
      <c r="B50" s="3">
        <v>46087</v>
      </c>
      <c r="C50" s="2">
        <v>151390549</v>
      </c>
      <c r="D50" s="17" t="s">
        <v>1527</v>
      </c>
    </row>
    <row r="51" spans="1:4" x14ac:dyDescent="0.45">
      <c r="A51" s="2" t="s">
        <v>1065</v>
      </c>
      <c r="B51" s="3">
        <v>46088</v>
      </c>
      <c r="C51" s="2">
        <v>151392054</v>
      </c>
      <c r="D51" s="17" t="s">
        <v>1527</v>
      </c>
    </row>
    <row r="52" spans="1:4" x14ac:dyDescent="0.45">
      <c r="A52" s="4" t="s">
        <v>1065</v>
      </c>
      <c r="B52" s="5">
        <v>46091</v>
      </c>
      <c r="C52" s="4">
        <v>151396791</v>
      </c>
      <c r="D52" s="16" t="s">
        <v>1527</v>
      </c>
    </row>
    <row r="53" spans="1:4" x14ac:dyDescent="0.45">
      <c r="A53" s="2" t="s">
        <v>1065</v>
      </c>
      <c r="B53" s="3">
        <v>46091</v>
      </c>
      <c r="C53" s="2">
        <v>151396841</v>
      </c>
      <c r="D53" s="17" t="s">
        <v>1527</v>
      </c>
    </row>
    <row r="54" spans="1:4" x14ac:dyDescent="0.45">
      <c r="A54" s="2" t="s">
        <v>254</v>
      </c>
      <c r="B54" s="3">
        <v>46091</v>
      </c>
      <c r="C54" s="2">
        <v>151396902</v>
      </c>
      <c r="D54" s="17" t="s">
        <v>1527</v>
      </c>
    </row>
    <row r="55" spans="1:4" x14ac:dyDescent="0.45">
      <c r="A55" s="4" t="s">
        <v>254</v>
      </c>
      <c r="B55" s="5">
        <v>46091</v>
      </c>
      <c r="C55" s="4">
        <v>151396936</v>
      </c>
      <c r="D55" s="16" t="s">
        <v>1527</v>
      </c>
    </row>
    <row r="56" spans="1:4" x14ac:dyDescent="0.45">
      <c r="A56" s="2" t="s">
        <v>254</v>
      </c>
      <c r="B56" s="3">
        <v>46099</v>
      </c>
      <c r="C56" s="2">
        <v>151409785</v>
      </c>
      <c r="D56" s="17" t="s">
        <v>1527</v>
      </c>
    </row>
    <row r="57" spans="1:4" x14ac:dyDescent="0.45">
      <c r="A57" s="4" t="s">
        <v>254</v>
      </c>
      <c r="B57" s="5">
        <v>46155</v>
      </c>
      <c r="C57" s="4">
        <v>151505801</v>
      </c>
      <c r="D57" s="16" t="s">
        <v>1547</v>
      </c>
    </row>
    <row r="58" spans="1:4" x14ac:dyDescent="0.45">
      <c r="A58" s="4" t="s">
        <v>254</v>
      </c>
      <c r="B58" s="5">
        <v>46048</v>
      </c>
      <c r="C58" s="4">
        <v>151316098</v>
      </c>
      <c r="D58" s="16" t="s">
        <v>1548</v>
      </c>
    </row>
    <row r="59" spans="1:4" x14ac:dyDescent="0.45">
      <c r="A59" s="2" t="s">
        <v>254</v>
      </c>
      <c r="B59" s="3">
        <v>46099</v>
      </c>
      <c r="C59" s="2">
        <v>151410686</v>
      </c>
      <c r="D59" s="16" t="s">
        <v>1548</v>
      </c>
    </row>
    <row r="60" spans="1:4" x14ac:dyDescent="0.45">
      <c r="A60" s="4" t="s">
        <v>254</v>
      </c>
      <c r="B60" s="5">
        <v>46099</v>
      </c>
      <c r="C60" s="4">
        <v>151410942</v>
      </c>
      <c r="D60" s="16" t="s">
        <v>1548</v>
      </c>
    </row>
    <row r="61" spans="1:4" x14ac:dyDescent="0.45">
      <c r="A61" s="4" t="s">
        <v>254</v>
      </c>
      <c r="B61" s="5">
        <v>46100</v>
      </c>
      <c r="C61" s="4">
        <v>151413164</v>
      </c>
      <c r="D61" s="16" t="s">
        <v>1548</v>
      </c>
    </row>
    <row r="62" spans="1:4" x14ac:dyDescent="0.45">
      <c r="A62" s="2" t="s">
        <v>254</v>
      </c>
      <c r="B62" s="3">
        <v>46113</v>
      </c>
      <c r="C62" s="2">
        <v>151436375</v>
      </c>
      <c r="D62" s="16" t="s">
        <v>1548</v>
      </c>
    </row>
    <row r="63" spans="1:4" x14ac:dyDescent="0.45">
      <c r="A63" s="2" t="s">
        <v>254</v>
      </c>
      <c r="B63" s="3">
        <v>46136</v>
      </c>
      <c r="C63" s="2">
        <v>5726560</v>
      </c>
      <c r="D63" s="17" t="s">
        <v>1549</v>
      </c>
    </row>
    <row r="64" spans="1:4" x14ac:dyDescent="0.45">
      <c r="A64" s="2" t="s">
        <v>254</v>
      </c>
      <c r="B64" s="3">
        <v>46126</v>
      </c>
      <c r="C64" s="2">
        <v>151458298</v>
      </c>
      <c r="D64" s="17" t="s">
        <v>1549</v>
      </c>
    </row>
    <row r="65" spans="1:4" x14ac:dyDescent="0.45">
      <c r="A65" s="4" t="s">
        <v>254</v>
      </c>
      <c r="B65" s="5">
        <v>46128</v>
      </c>
      <c r="C65" s="4">
        <v>151462935</v>
      </c>
      <c r="D65" s="17" t="s">
        <v>1549</v>
      </c>
    </row>
    <row r="66" spans="1:4" x14ac:dyDescent="0.45">
      <c r="A66" s="4" t="s">
        <v>254</v>
      </c>
      <c r="B66" s="5">
        <v>46133</v>
      </c>
      <c r="C66" s="4">
        <v>151470043</v>
      </c>
      <c r="D66" s="17" t="s">
        <v>1549</v>
      </c>
    </row>
    <row r="67" spans="1:4" x14ac:dyDescent="0.45">
      <c r="A67" s="4"/>
      <c r="B67" s="5">
        <v>46134</v>
      </c>
      <c r="C67" s="4">
        <v>151471588</v>
      </c>
      <c r="D67" s="17" t="s">
        <v>1549</v>
      </c>
    </row>
    <row r="68" spans="1:4" x14ac:dyDescent="0.45">
      <c r="A68" s="2" t="s">
        <v>1065</v>
      </c>
      <c r="B68" s="3">
        <v>46136</v>
      </c>
      <c r="C68" s="2">
        <v>151475967</v>
      </c>
      <c r="D68" s="17" t="s">
        <v>1549</v>
      </c>
    </row>
    <row r="69" spans="1:4" x14ac:dyDescent="0.45">
      <c r="A69" s="4" t="s">
        <v>254</v>
      </c>
      <c r="B69" s="5">
        <v>46137</v>
      </c>
      <c r="C69" s="4">
        <v>151477245</v>
      </c>
      <c r="D69" s="17" t="s">
        <v>1549</v>
      </c>
    </row>
    <row r="70" spans="1:4" x14ac:dyDescent="0.45">
      <c r="A70" s="2" t="s">
        <v>1065</v>
      </c>
      <c r="B70" s="3">
        <v>46139</v>
      </c>
      <c r="C70" s="2">
        <v>151479422</v>
      </c>
      <c r="D70" s="17" t="s">
        <v>1549</v>
      </c>
    </row>
    <row r="71" spans="1:4" x14ac:dyDescent="0.45">
      <c r="A71" s="4" t="s">
        <v>254</v>
      </c>
      <c r="B71" s="5">
        <v>46139</v>
      </c>
      <c r="C71" s="4">
        <v>151479665</v>
      </c>
      <c r="D71" s="17" t="s">
        <v>1549</v>
      </c>
    </row>
    <row r="72" spans="1:4" x14ac:dyDescent="0.45">
      <c r="A72" s="2" t="s">
        <v>254</v>
      </c>
      <c r="B72" s="3">
        <v>46140</v>
      </c>
      <c r="C72" s="2">
        <v>151480988</v>
      </c>
      <c r="D72" s="17" t="s">
        <v>1549</v>
      </c>
    </row>
    <row r="73" spans="1:4" x14ac:dyDescent="0.45">
      <c r="A73" s="4" t="s">
        <v>254</v>
      </c>
      <c r="B73" s="5">
        <v>46140</v>
      </c>
      <c r="C73" s="4">
        <v>151481486</v>
      </c>
      <c r="D73" s="17" t="s">
        <v>1549</v>
      </c>
    </row>
    <row r="74" spans="1:4" x14ac:dyDescent="0.45">
      <c r="A74" s="4" t="s">
        <v>254</v>
      </c>
      <c r="B74" s="5">
        <v>46141</v>
      </c>
      <c r="C74" s="4">
        <v>151483962</v>
      </c>
      <c r="D74" s="17" t="s">
        <v>1549</v>
      </c>
    </row>
    <row r="75" spans="1:4" x14ac:dyDescent="0.45">
      <c r="A75" s="4" t="s">
        <v>1065</v>
      </c>
      <c r="B75" s="5">
        <v>46143</v>
      </c>
      <c r="C75" s="4">
        <v>151486006</v>
      </c>
      <c r="D75" s="17" t="s">
        <v>1549</v>
      </c>
    </row>
    <row r="76" spans="1:4" x14ac:dyDescent="0.45">
      <c r="A76" s="4" t="s">
        <v>254</v>
      </c>
      <c r="B76" s="5">
        <v>46144</v>
      </c>
      <c r="C76" s="4">
        <v>151487136</v>
      </c>
      <c r="D76" s="17" t="s">
        <v>1549</v>
      </c>
    </row>
    <row r="77" spans="1:4" x14ac:dyDescent="0.45">
      <c r="A77" s="2" t="s">
        <v>254</v>
      </c>
      <c r="B77" s="3">
        <v>46146</v>
      </c>
      <c r="C77" s="2">
        <v>151489087</v>
      </c>
      <c r="D77" s="17" t="s">
        <v>1549</v>
      </c>
    </row>
    <row r="78" spans="1:4" x14ac:dyDescent="0.45">
      <c r="A78" s="4" t="s">
        <v>254</v>
      </c>
      <c r="B78" s="5">
        <v>46146</v>
      </c>
      <c r="C78" s="4">
        <v>151490113</v>
      </c>
      <c r="D78" s="17" t="s">
        <v>1549</v>
      </c>
    </row>
    <row r="79" spans="1:4" x14ac:dyDescent="0.45">
      <c r="A79" s="2" t="s">
        <v>254</v>
      </c>
      <c r="B79" s="3">
        <v>46148</v>
      </c>
      <c r="C79" s="2">
        <v>151494092</v>
      </c>
      <c r="D79" s="17" t="s">
        <v>1549</v>
      </c>
    </row>
    <row r="80" spans="1:4" x14ac:dyDescent="0.45">
      <c r="A80" s="2" t="s">
        <v>254</v>
      </c>
      <c r="B80" s="3">
        <v>46149</v>
      </c>
      <c r="C80" s="2">
        <v>151496325</v>
      </c>
      <c r="D80" s="17" t="s">
        <v>1549</v>
      </c>
    </row>
    <row r="81" spans="1:4" x14ac:dyDescent="0.45">
      <c r="A81" s="2" t="s">
        <v>254</v>
      </c>
      <c r="B81" s="3">
        <v>46150</v>
      </c>
      <c r="C81" s="2">
        <v>151498147</v>
      </c>
      <c r="D81" s="17" t="s">
        <v>1549</v>
      </c>
    </row>
    <row r="82" spans="1:4" x14ac:dyDescent="0.45">
      <c r="A82" s="2" t="s">
        <v>254</v>
      </c>
      <c r="B82" s="3">
        <v>46153</v>
      </c>
      <c r="C82" s="2">
        <v>151500819</v>
      </c>
      <c r="D82" s="17" t="s">
        <v>1549</v>
      </c>
    </row>
    <row r="83" spans="1:4" x14ac:dyDescent="0.45">
      <c r="A83" s="4" t="s">
        <v>254</v>
      </c>
      <c r="B83" s="5">
        <v>46153</v>
      </c>
      <c r="C83" s="4">
        <v>151501478</v>
      </c>
      <c r="D83" s="17" t="s">
        <v>1549</v>
      </c>
    </row>
    <row r="84" spans="1:4" x14ac:dyDescent="0.45">
      <c r="A84" s="4" t="s">
        <v>254</v>
      </c>
      <c r="B84" s="5">
        <v>46157</v>
      </c>
      <c r="C84" s="4">
        <v>151509706</v>
      </c>
      <c r="D84" s="17" t="s">
        <v>1549</v>
      </c>
    </row>
    <row r="85" spans="1:4" x14ac:dyDescent="0.45">
      <c r="A85" s="4" t="s">
        <v>254</v>
      </c>
      <c r="B85" s="5">
        <v>46048</v>
      </c>
      <c r="C85" s="4">
        <v>151316131</v>
      </c>
      <c r="D85" s="17" t="s">
        <v>1549</v>
      </c>
    </row>
    <row r="86" spans="1:4" x14ac:dyDescent="0.45">
      <c r="A86" s="4" t="s">
        <v>254</v>
      </c>
      <c r="B86" s="5">
        <v>46116</v>
      </c>
      <c r="C86" s="4">
        <v>151440349</v>
      </c>
      <c r="D86" s="16" t="s">
        <v>1528</v>
      </c>
    </row>
    <row r="87" spans="1:4" x14ac:dyDescent="0.45">
      <c r="A87" s="2" t="s">
        <v>254</v>
      </c>
      <c r="B87" s="3">
        <v>46116</v>
      </c>
      <c r="C87" s="2">
        <v>151440375</v>
      </c>
      <c r="D87" s="17" t="s">
        <v>1528</v>
      </c>
    </row>
    <row r="88" spans="1:4" x14ac:dyDescent="0.45">
      <c r="A88" s="2" t="s">
        <v>254</v>
      </c>
      <c r="B88" s="3">
        <v>46118</v>
      </c>
      <c r="C88" s="2">
        <v>151443822</v>
      </c>
      <c r="D88" s="17" t="s">
        <v>1528</v>
      </c>
    </row>
    <row r="89" spans="1:4" x14ac:dyDescent="0.45">
      <c r="A89" s="4" t="s">
        <v>254</v>
      </c>
      <c r="B89" s="5">
        <v>46118</v>
      </c>
      <c r="C89" s="4">
        <v>151443918</v>
      </c>
      <c r="D89" s="16" t="s">
        <v>1528</v>
      </c>
    </row>
    <row r="90" spans="1:4" x14ac:dyDescent="0.45">
      <c r="A90" s="2" t="s">
        <v>254</v>
      </c>
      <c r="B90" s="3">
        <v>46119</v>
      </c>
      <c r="C90" s="2">
        <v>151445871</v>
      </c>
      <c r="D90" s="17" t="s">
        <v>1528</v>
      </c>
    </row>
    <row r="91" spans="1:4" x14ac:dyDescent="0.45">
      <c r="A91" s="2" t="s">
        <v>254</v>
      </c>
      <c r="B91" s="3">
        <v>46125</v>
      </c>
      <c r="C91" s="2">
        <v>151456294</v>
      </c>
      <c r="D91" s="17" t="s">
        <v>1528</v>
      </c>
    </row>
    <row r="92" spans="1:4" x14ac:dyDescent="0.45">
      <c r="A92" s="2" t="s">
        <v>254</v>
      </c>
      <c r="B92" s="3">
        <v>46084</v>
      </c>
      <c r="C92" s="2">
        <v>151384648</v>
      </c>
      <c r="D92" s="17" t="s">
        <v>1529</v>
      </c>
    </row>
    <row r="93" spans="1:4" x14ac:dyDescent="0.45">
      <c r="A93" s="4" t="s">
        <v>254</v>
      </c>
      <c r="B93" s="5">
        <v>46085</v>
      </c>
      <c r="C93" s="4">
        <v>151386479</v>
      </c>
      <c r="D93" s="16" t="s">
        <v>1529</v>
      </c>
    </row>
    <row r="94" spans="1:4" x14ac:dyDescent="0.45">
      <c r="A94" s="2" t="s">
        <v>254</v>
      </c>
      <c r="B94" s="3">
        <v>46091</v>
      </c>
      <c r="C94" s="2">
        <v>151396773</v>
      </c>
      <c r="D94" s="17" t="s">
        <v>1529</v>
      </c>
    </row>
    <row r="95" spans="1:4" x14ac:dyDescent="0.45">
      <c r="A95" s="2" t="s">
        <v>254</v>
      </c>
      <c r="B95" s="3">
        <v>46092</v>
      </c>
      <c r="C95" s="2">
        <v>151398892</v>
      </c>
      <c r="D95" s="17" t="s">
        <v>1529</v>
      </c>
    </row>
    <row r="96" spans="1:4" x14ac:dyDescent="0.45">
      <c r="A96" s="2" t="s">
        <v>254</v>
      </c>
      <c r="B96" s="3">
        <v>46092</v>
      </c>
      <c r="C96" s="2">
        <v>151398945</v>
      </c>
      <c r="D96" s="17" t="s">
        <v>1529</v>
      </c>
    </row>
    <row r="97" spans="1:4" x14ac:dyDescent="0.45">
      <c r="A97" s="4" t="s">
        <v>254</v>
      </c>
      <c r="B97" s="5">
        <v>46093</v>
      </c>
      <c r="C97" s="4">
        <v>151401720</v>
      </c>
      <c r="D97" s="16" t="s">
        <v>1529</v>
      </c>
    </row>
    <row r="98" spans="1:4" x14ac:dyDescent="0.45">
      <c r="A98" s="4"/>
      <c r="B98" s="5">
        <v>46079</v>
      </c>
      <c r="C98" s="4">
        <v>151375491</v>
      </c>
      <c r="D98" s="16" t="s">
        <v>1530</v>
      </c>
    </row>
    <row r="99" spans="1:4" x14ac:dyDescent="0.45">
      <c r="A99" s="2"/>
      <c r="B99" s="3">
        <v>46079</v>
      </c>
      <c r="C99" s="2">
        <v>151375583</v>
      </c>
      <c r="D99" s="17" t="s">
        <v>1530</v>
      </c>
    </row>
    <row r="100" spans="1:4" x14ac:dyDescent="0.45">
      <c r="A100" s="4" t="s">
        <v>254</v>
      </c>
      <c r="B100" s="5">
        <v>46080</v>
      </c>
      <c r="C100" s="4">
        <v>151377414</v>
      </c>
      <c r="D100" s="16" t="s">
        <v>1530</v>
      </c>
    </row>
    <row r="101" spans="1:4" x14ac:dyDescent="0.45">
      <c r="A101" s="4" t="s">
        <v>254</v>
      </c>
      <c r="B101" s="5">
        <v>46080</v>
      </c>
      <c r="C101" s="4">
        <v>151377469</v>
      </c>
      <c r="D101" s="16" t="s">
        <v>1530</v>
      </c>
    </row>
    <row r="102" spans="1:4" x14ac:dyDescent="0.45">
      <c r="A102" s="2" t="s">
        <v>254</v>
      </c>
      <c r="B102" s="3">
        <v>46082</v>
      </c>
      <c r="C102" s="2">
        <v>151379619</v>
      </c>
      <c r="D102" s="17" t="s">
        <v>1530</v>
      </c>
    </row>
    <row r="103" spans="1:4" x14ac:dyDescent="0.45">
      <c r="A103" s="4" t="s">
        <v>254</v>
      </c>
      <c r="B103" s="5">
        <v>46083</v>
      </c>
      <c r="C103" s="4">
        <v>151381589</v>
      </c>
      <c r="D103" s="16" t="s">
        <v>1530</v>
      </c>
    </row>
    <row r="104" spans="1:4" x14ac:dyDescent="0.45">
      <c r="A104" s="4" t="s">
        <v>1065</v>
      </c>
      <c r="B104" s="5">
        <v>46084</v>
      </c>
      <c r="C104" s="4">
        <v>151384220</v>
      </c>
      <c r="D104" s="16" t="s">
        <v>1530</v>
      </c>
    </row>
    <row r="105" spans="1:4" x14ac:dyDescent="0.45">
      <c r="A105" s="2" t="s">
        <v>254</v>
      </c>
      <c r="B105" s="3">
        <v>46086</v>
      </c>
      <c r="C105" s="2">
        <v>151387947</v>
      </c>
      <c r="D105" s="17" t="s">
        <v>1530</v>
      </c>
    </row>
    <row r="106" spans="1:4" x14ac:dyDescent="0.45">
      <c r="A106" s="2" t="s">
        <v>254</v>
      </c>
      <c r="B106" s="3">
        <v>46086</v>
      </c>
      <c r="C106" s="2">
        <v>151388431</v>
      </c>
      <c r="D106" s="17" t="s">
        <v>1530</v>
      </c>
    </row>
    <row r="107" spans="1:4" x14ac:dyDescent="0.45">
      <c r="A107" s="4" t="s">
        <v>254</v>
      </c>
      <c r="B107" s="5">
        <v>46086</v>
      </c>
      <c r="C107" s="4">
        <v>151388573</v>
      </c>
      <c r="D107" s="16" t="s">
        <v>1530</v>
      </c>
    </row>
    <row r="108" spans="1:4" x14ac:dyDescent="0.45">
      <c r="A108" s="4" t="s">
        <v>254</v>
      </c>
      <c r="B108" s="5">
        <v>46088</v>
      </c>
      <c r="C108" s="4">
        <v>151391140</v>
      </c>
      <c r="D108" s="16" t="s">
        <v>1530</v>
      </c>
    </row>
    <row r="109" spans="1:4" x14ac:dyDescent="0.45">
      <c r="A109" s="2" t="s">
        <v>254</v>
      </c>
      <c r="B109" s="3">
        <v>46088</v>
      </c>
      <c r="C109" s="2">
        <v>151392218</v>
      </c>
      <c r="D109" s="17" t="s">
        <v>1530</v>
      </c>
    </row>
    <row r="110" spans="1:4" x14ac:dyDescent="0.45">
      <c r="A110" s="4" t="s">
        <v>254</v>
      </c>
      <c r="B110" s="5">
        <v>46091</v>
      </c>
      <c r="C110" s="4">
        <v>151395109</v>
      </c>
      <c r="D110" s="16" t="s">
        <v>1530</v>
      </c>
    </row>
    <row r="111" spans="1:4" x14ac:dyDescent="0.45">
      <c r="A111" s="4" t="s">
        <v>1065</v>
      </c>
      <c r="B111" s="5">
        <v>46091</v>
      </c>
      <c r="C111" s="4">
        <v>151396757</v>
      </c>
      <c r="D111" s="16" t="s">
        <v>1530</v>
      </c>
    </row>
    <row r="112" spans="1:4" x14ac:dyDescent="0.45">
      <c r="A112" s="2" t="s">
        <v>254</v>
      </c>
      <c r="B112" s="3">
        <v>46091</v>
      </c>
      <c r="C112" s="2">
        <v>151396798</v>
      </c>
      <c r="D112" s="17" t="s">
        <v>1530</v>
      </c>
    </row>
    <row r="113" spans="1:4" x14ac:dyDescent="0.45">
      <c r="A113" s="4" t="s">
        <v>254</v>
      </c>
      <c r="B113" s="5">
        <v>46092</v>
      </c>
      <c r="C113" s="4">
        <v>151399037</v>
      </c>
      <c r="D113" s="16" t="s">
        <v>1530</v>
      </c>
    </row>
    <row r="114" spans="1:4" x14ac:dyDescent="0.45">
      <c r="A114" s="4" t="s">
        <v>254</v>
      </c>
      <c r="B114" s="5">
        <v>46099</v>
      </c>
      <c r="C114" s="4">
        <v>151409762</v>
      </c>
      <c r="D114" s="16" t="s">
        <v>1530</v>
      </c>
    </row>
    <row r="115" spans="1:4" x14ac:dyDescent="0.45">
      <c r="A115" s="2"/>
      <c r="B115" s="3">
        <v>46099</v>
      </c>
      <c r="C115" s="2">
        <v>151409803</v>
      </c>
      <c r="D115" s="17" t="s">
        <v>1530</v>
      </c>
    </row>
    <row r="116" spans="1:4" x14ac:dyDescent="0.45">
      <c r="A116" s="2" t="s">
        <v>254</v>
      </c>
      <c r="B116" s="3">
        <v>46048</v>
      </c>
      <c r="C116" s="2">
        <v>151316204</v>
      </c>
      <c r="D116" s="17" t="s">
        <v>1550</v>
      </c>
    </row>
    <row r="117" spans="1:4" x14ac:dyDescent="0.45">
      <c r="A117" s="2" t="s">
        <v>254</v>
      </c>
      <c r="B117" s="3">
        <v>46048</v>
      </c>
      <c r="C117" s="2">
        <v>151317148</v>
      </c>
      <c r="D117" s="17" t="s">
        <v>1550</v>
      </c>
    </row>
    <row r="118" spans="1:4" x14ac:dyDescent="0.45">
      <c r="A118" s="4" t="s">
        <v>254</v>
      </c>
      <c r="B118" s="5">
        <v>46048</v>
      </c>
      <c r="C118" s="4">
        <v>151317721</v>
      </c>
      <c r="D118" s="17" t="s">
        <v>1550</v>
      </c>
    </row>
    <row r="119" spans="1:4" x14ac:dyDescent="0.45">
      <c r="A119" s="2" t="s">
        <v>1065</v>
      </c>
      <c r="B119" s="3">
        <v>46048</v>
      </c>
      <c r="C119" s="2">
        <v>151317754</v>
      </c>
      <c r="D119" s="17" t="s">
        <v>1550</v>
      </c>
    </row>
    <row r="120" spans="1:4" x14ac:dyDescent="0.45">
      <c r="A120" s="2" t="s">
        <v>254</v>
      </c>
      <c r="B120" s="3">
        <v>46048</v>
      </c>
      <c r="C120" s="2">
        <v>151317824</v>
      </c>
      <c r="D120" s="17" t="s">
        <v>1550</v>
      </c>
    </row>
    <row r="121" spans="1:4" x14ac:dyDescent="0.45">
      <c r="A121" s="4" t="s">
        <v>1065</v>
      </c>
      <c r="B121" s="5">
        <v>46049</v>
      </c>
      <c r="C121" s="4">
        <v>151319843</v>
      </c>
      <c r="D121" s="17" t="s">
        <v>1550</v>
      </c>
    </row>
    <row r="122" spans="1:4" x14ac:dyDescent="0.45">
      <c r="A122" s="4" t="s">
        <v>254</v>
      </c>
      <c r="B122" s="5">
        <v>46049</v>
      </c>
      <c r="C122" s="4">
        <v>151319921</v>
      </c>
      <c r="D122" s="17" t="s">
        <v>1550</v>
      </c>
    </row>
    <row r="123" spans="1:4" x14ac:dyDescent="0.45">
      <c r="A123" s="4" t="s">
        <v>1065</v>
      </c>
      <c r="B123" s="5">
        <v>46049</v>
      </c>
      <c r="C123" s="4">
        <v>151319959</v>
      </c>
      <c r="D123" s="17" t="s">
        <v>1550</v>
      </c>
    </row>
    <row r="124" spans="1:4" x14ac:dyDescent="0.45">
      <c r="A124" s="2" t="s">
        <v>1065</v>
      </c>
      <c r="B124" s="3">
        <v>46049</v>
      </c>
      <c r="C124" s="2">
        <v>151319995</v>
      </c>
      <c r="D124" s="17" t="s">
        <v>1550</v>
      </c>
    </row>
    <row r="125" spans="1:4" x14ac:dyDescent="0.45">
      <c r="A125" s="2"/>
      <c r="B125" s="3">
        <v>46049</v>
      </c>
      <c r="C125" s="2">
        <v>151320061</v>
      </c>
      <c r="D125" s="17" t="s">
        <v>1550</v>
      </c>
    </row>
    <row r="126" spans="1:4" x14ac:dyDescent="0.45">
      <c r="A126" s="2" t="s">
        <v>254</v>
      </c>
      <c r="B126" s="3">
        <v>46049</v>
      </c>
      <c r="C126" s="2">
        <v>151320111</v>
      </c>
      <c r="D126" s="17" t="s">
        <v>1550</v>
      </c>
    </row>
    <row r="127" spans="1:4" x14ac:dyDescent="0.45">
      <c r="A127" s="2" t="s">
        <v>254</v>
      </c>
      <c r="B127" s="3">
        <v>46049</v>
      </c>
      <c r="C127" s="2">
        <v>151320152</v>
      </c>
      <c r="D127" s="17" t="s">
        <v>1550</v>
      </c>
    </row>
    <row r="128" spans="1:4" x14ac:dyDescent="0.45">
      <c r="A128" s="4" t="s">
        <v>254</v>
      </c>
      <c r="B128" s="5">
        <v>46050</v>
      </c>
      <c r="C128" s="4">
        <v>151322446</v>
      </c>
      <c r="D128" s="17" t="s">
        <v>1550</v>
      </c>
    </row>
    <row r="129" spans="1:4" x14ac:dyDescent="0.45">
      <c r="A129" s="2" t="s">
        <v>1065</v>
      </c>
      <c r="B129" s="3">
        <v>46050</v>
      </c>
      <c r="C129" s="2">
        <v>151322683</v>
      </c>
      <c r="D129" s="17" t="s">
        <v>1550</v>
      </c>
    </row>
    <row r="130" spans="1:4" x14ac:dyDescent="0.45">
      <c r="A130" s="2" t="s">
        <v>254</v>
      </c>
      <c r="B130" s="3">
        <v>46051</v>
      </c>
      <c r="C130" s="2">
        <v>151324496</v>
      </c>
      <c r="D130" s="17" t="s">
        <v>1550</v>
      </c>
    </row>
    <row r="131" spans="1:4" x14ac:dyDescent="0.45">
      <c r="A131" s="4" t="s">
        <v>1065</v>
      </c>
      <c r="B131" s="5">
        <v>46051</v>
      </c>
      <c r="C131" s="4">
        <v>151324541</v>
      </c>
      <c r="D131" s="17" t="s">
        <v>1550</v>
      </c>
    </row>
    <row r="132" spans="1:4" x14ac:dyDescent="0.45">
      <c r="A132" s="4" t="s">
        <v>254</v>
      </c>
      <c r="B132" s="5">
        <v>46051</v>
      </c>
      <c r="C132" s="4">
        <v>151324567</v>
      </c>
      <c r="D132" s="17" t="s">
        <v>1550</v>
      </c>
    </row>
    <row r="133" spans="1:4" x14ac:dyDescent="0.45">
      <c r="A133" s="2" t="s">
        <v>254</v>
      </c>
      <c r="B133" s="3">
        <v>46051</v>
      </c>
      <c r="C133" s="2">
        <v>151324616</v>
      </c>
      <c r="D133" s="17" t="s">
        <v>1550</v>
      </c>
    </row>
    <row r="134" spans="1:4" x14ac:dyDescent="0.45">
      <c r="A134" s="4" t="s">
        <v>254</v>
      </c>
      <c r="B134" s="5">
        <v>46052</v>
      </c>
      <c r="C134" s="4">
        <v>151326581</v>
      </c>
      <c r="D134" s="17" t="s">
        <v>1550</v>
      </c>
    </row>
    <row r="135" spans="1:4" x14ac:dyDescent="0.45">
      <c r="A135" s="4" t="s">
        <v>254</v>
      </c>
      <c r="B135" s="5">
        <v>46053</v>
      </c>
      <c r="C135" s="4">
        <v>151328027</v>
      </c>
      <c r="D135" s="17" t="s">
        <v>1550</v>
      </c>
    </row>
    <row r="136" spans="1:4" x14ac:dyDescent="0.45">
      <c r="A136" s="4"/>
      <c r="B136" s="5">
        <v>46053</v>
      </c>
      <c r="C136" s="4">
        <v>151328038</v>
      </c>
      <c r="D136" s="17" t="s">
        <v>1550</v>
      </c>
    </row>
    <row r="137" spans="1:4" x14ac:dyDescent="0.45">
      <c r="A137" s="2" t="s">
        <v>254</v>
      </c>
      <c r="B137" s="3">
        <v>46053</v>
      </c>
      <c r="C137" s="2">
        <v>151328060</v>
      </c>
      <c r="D137" s="17" t="s">
        <v>1550</v>
      </c>
    </row>
    <row r="138" spans="1:4" x14ac:dyDescent="0.45">
      <c r="A138" s="2" t="s">
        <v>254</v>
      </c>
      <c r="B138" s="3">
        <v>46053</v>
      </c>
      <c r="C138" s="2">
        <v>151328067</v>
      </c>
      <c r="D138" s="17" t="s">
        <v>1550</v>
      </c>
    </row>
    <row r="139" spans="1:4" x14ac:dyDescent="0.45">
      <c r="A139" s="4" t="s">
        <v>254</v>
      </c>
      <c r="B139" s="5">
        <v>46054</v>
      </c>
      <c r="C139" s="4">
        <v>151328588</v>
      </c>
      <c r="D139" s="17" t="s">
        <v>1550</v>
      </c>
    </row>
    <row r="140" spans="1:4" x14ac:dyDescent="0.45">
      <c r="A140" s="4" t="s">
        <v>254</v>
      </c>
      <c r="B140" s="5">
        <v>46084</v>
      </c>
      <c r="C140" s="4">
        <v>151384434</v>
      </c>
      <c r="D140" s="17" t="s">
        <v>1550</v>
      </c>
    </row>
    <row r="141" spans="1:4" x14ac:dyDescent="0.45">
      <c r="A141" s="2" t="s">
        <v>254</v>
      </c>
      <c r="B141" s="3">
        <v>46085</v>
      </c>
      <c r="C141" s="2">
        <v>151386732</v>
      </c>
      <c r="D141" s="17" t="s">
        <v>1550</v>
      </c>
    </row>
    <row r="142" spans="1:4" x14ac:dyDescent="0.45">
      <c r="A142" s="4" t="s">
        <v>254</v>
      </c>
      <c r="B142" s="5">
        <v>46087</v>
      </c>
      <c r="C142" s="4">
        <v>151390842</v>
      </c>
      <c r="D142" s="17" t="s">
        <v>1550</v>
      </c>
    </row>
    <row r="143" spans="1:4" x14ac:dyDescent="0.45">
      <c r="A143" s="4" t="s">
        <v>254</v>
      </c>
      <c r="B143" s="5">
        <v>46087</v>
      </c>
      <c r="C143" s="4">
        <v>151390869</v>
      </c>
      <c r="D143" s="17" t="s">
        <v>1550</v>
      </c>
    </row>
    <row r="144" spans="1:4" x14ac:dyDescent="0.45">
      <c r="A144" s="2" t="s">
        <v>254</v>
      </c>
      <c r="B144" s="3">
        <v>46088</v>
      </c>
      <c r="C144" s="2">
        <v>151392070</v>
      </c>
      <c r="D144" s="17" t="s">
        <v>1550</v>
      </c>
    </row>
    <row r="145" spans="1:4" x14ac:dyDescent="0.45">
      <c r="A145" s="4" t="s">
        <v>254</v>
      </c>
      <c r="B145" s="5">
        <v>46108</v>
      </c>
      <c r="C145" s="4">
        <v>151428281</v>
      </c>
      <c r="D145" s="17" t="s">
        <v>1550</v>
      </c>
    </row>
    <row r="146" spans="1:4" x14ac:dyDescent="0.45">
      <c r="A146" s="2" t="s">
        <v>254</v>
      </c>
      <c r="B146" s="3">
        <v>46108</v>
      </c>
      <c r="C146" s="2">
        <v>151428315</v>
      </c>
      <c r="D146" s="17" t="s">
        <v>1550</v>
      </c>
    </row>
    <row r="147" spans="1:4" x14ac:dyDescent="0.45">
      <c r="A147" s="4" t="s">
        <v>254</v>
      </c>
      <c r="B147" s="5">
        <v>46108</v>
      </c>
      <c r="C147" s="4">
        <v>151428390</v>
      </c>
      <c r="D147" s="17" t="s">
        <v>1550</v>
      </c>
    </row>
    <row r="148" spans="1:4" x14ac:dyDescent="0.45">
      <c r="A148" s="4" t="s">
        <v>254</v>
      </c>
      <c r="B148" s="5">
        <v>46054</v>
      </c>
      <c r="C148" s="4">
        <v>151328620</v>
      </c>
      <c r="D148" s="16" t="s">
        <v>1551</v>
      </c>
    </row>
    <row r="149" spans="1:4" x14ac:dyDescent="0.45">
      <c r="A149" s="2" t="s">
        <v>254</v>
      </c>
      <c r="B149" s="3">
        <v>46054</v>
      </c>
      <c r="C149" s="2">
        <v>151328638</v>
      </c>
      <c r="D149" s="16" t="s">
        <v>1551</v>
      </c>
    </row>
    <row r="150" spans="1:4" x14ac:dyDescent="0.45">
      <c r="A150" s="4" t="s">
        <v>254</v>
      </c>
      <c r="B150" s="5">
        <v>46056</v>
      </c>
      <c r="C150" s="4">
        <v>151332451</v>
      </c>
      <c r="D150" s="16" t="s">
        <v>1551</v>
      </c>
    </row>
    <row r="151" spans="1:4" x14ac:dyDescent="0.45">
      <c r="A151" s="2" t="s">
        <v>254</v>
      </c>
      <c r="B151" s="3">
        <v>46056</v>
      </c>
      <c r="C151" s="2">
        <v>151332514</v>
      </c>
      <c r="D151" s="16" t="s">
        <v>1551</v>
      </c>
    </row>
    <row r="152" spans="1:4" x14ac:dyDescent="0.45">
      <c r="A152" s="2" t="s">
        <v>254</v>
      </c>
      <c r="B152" s="3">
        <v>46056</v>
      </c>
      <c r="C152" s="2">
        <v>151332766</v>
      </c>
      <c r="D152" s="16" t="s">
        <v>1551</v>
      </c>
    </row>
    <row r="153" spans="1:4" x14ac:dyDescent="0.45">
      <c r="A153" s="4" t="s">
        <v>254</v>
      </c>
      <c r="B153" s="5">
        <v>46057</v>
      </c>
      <c r="C153" s="4">
        <v>151334172</v>
      </c>
      <c r="D153" s="16" t="s">
        <v>1551</v>
      </c>
    </row>
    <row r="154" spans="1:4" x14ac:dyDescent="0.45">
      <c r="A154" s="2" t="s">
        <v>254</v>
      </c>
      <c r="B154" s="3">
        <v>46057</v>
      </c>
      <c r="C154" s="2">
        <v>151334236</v>
      </c>
      <c r="D154" s="16" t="s">
        <v>1551</v>
      </c>
    </row>
    <row r="155" spans="1:4" x14ac:dyDescent="0.45">
      <c r="A155" s="4" t="s">
        <v>1065</v>
      </c>
      <c r="B155" s="5">
        <v>46057</v>
      </c>
      <c r="C155" s="4">
        <v>151334288</v>
      </c>
      <c r="D155" s="16" t="s">
        <v>1551</v>
      </c>
    </row>
    <row r="156" spans="1:4" x14ac:dyDescent="0.45">
      <c r="A156" s="4" t="s">
        <v>1065</v>
      </c>
      <c r="B156" s="5">
        <v>46057</v>
      </c>
      <c r="C156" s="4">
        <v>151334508</v>
      </c>
      <c r="D156" s="16" t="s">
        <v>1551</v>
      </c>
    </row>
    <row r="157" spans="1:4" x14ac:dyDescent="0.45">
      <c r="A157" s="4" t="s">
        <v>254</v>
      </c>
      <c r="B157" s="5">
        <v>46057</v>
      </c>
      <c r="C157" s="4">
        <v>151334519</v>
      </c>
      <c r="D157" s="16" t="s">
        <v>1551</v>
      </c>
    </row>
    <row r="158" spans="1:4" x14ac:dyDescent="0.45">
      <c r="A158" s="2" t="s">
        <v>1065</v>
      </c>
      <c r="B158" s="3">
        <v>46057</v>
      </c>
      <c r="C158" s="2">
        <v>151334532</v>
      </c>
      <c r="D158" s="16" t="s">
        <v>1551</v>
      </c>
    </row>
    <row r="159" spans="1:4" x14ac:dyDescent="0.45">
      <c r="A159" s="4" t="s">
        <v>254</v>
      </c>
      <c r="B159" s="5">
        <v>46057</v>
      </c>
      <c r="C159" s="4">
        <v>151334579</v>
      </c>
      <c r="D159" s="16" t="s">
        <v>1551</v>
      </c>
    </row>
    <row r="160" spans="1:4" x14ac:dyDescent="0.45">
      <c r="A160" s="2" t="s">
        <v>254</v>
      </c>
      <c r="B160" s="3">
        <v>46057</v>
      </c>
      <c r="C160" s="2">
        <v>151334592</v>
      </c>
      <c r="D160" s="16" t="s">
        <v>1551</v>
      </c>
    </row>
    <row r="161" spans="1:4" x14ac:dyDescent="0.45">
      <c r="A161" s="2" t="s">
        <v>1065</v>
      </c>
      <c r="B161" s="3">
        <v>46057</v>
      </c>
      <c r="C161" s="2">
        <v>151334644</v>
      </c>
      <c r="D161" s="16" t="s">
        <v>1551</v>
      </c>
    </row>
    <row r="162" spans="1:4" x14ac:dyDescent="0.45">
      <c r="A162" s="2" t="s">
        <v>254</v>
      </c>
      <c r="B162" s="3">
        <v>46057</v>
      </c>
      <c r="C162" s="2">
        <v>151334679</v>
      </c>
      <c r="D162" s="16" t="s">
        <v>1551</v>
      </c>
    </row>
    <row r="163" spans="1:4" x14ac:dyDescent="0.45">
      <c r="A163" s="2" t="s">
        <v>254</v>
      </c>
      <c r="B163" s="3">
        <v>46058</v>
      </c>
      <c r="C163" s="2">
        <v>151336320</v>
      </c>
      <c r="D163" s="16" t="s">
        <v>1551</v>
      </c>
    </row>
    <row r="164" spans="1:4" x14ac:dyDescent="0.45">
      <c r="A164" s="2"/>
      <c r="B164" s="3">
        <v>46058</v>
      </c>
      <c r="C164" s="2">
        <v>151336356</v>
      </c>
      <c r="D164" s="16" t="s">
        <v>1551</v>
      </c>
    </row>
    <row r="165" spans="1:4" x14ac:dyDescent="0.45">
      <c r="A165" s="2" t="s">
        <v>254</v>
      </c>
      <c r="B165" s="3">
        <v>46058</v>
      </c>
      <c r="C165" s="2">
        <v>151336409</v>
      </c>
      <c r="D165" s="16" t="s">
        <v>1551</v>
      </c>
    </row>
    <row r="166" spans="1:4" x14ac:dyDescent="0.45">
      <c r="A166" s="4" t="s">
        <v>254</v>
      </c>
      <c r="B166" s="5">
        <v>46058</v>
      </c>
      <c r="C166" s="4">
        <v>151336479</v>
      </c>
      <c r="D166" s="16" t="s">
        <v>1551</v>
      </c>
    </row>
    <row r="167" spans="1:4" x14ac:dyDescent="0.45">
      <c r="A167" s="2" t="s">
        <v>1065</v>
      </c>
      <c r="B167" s="3">
        <v>46058</v>
      </c>
      <c r="C167" s="2">
        <v>151336495</v>
      </c>
      <c r="D167" s="16" t="s">
        <v>1551</v>
      </c>
    </row>
    <row r="168" spans="1:4" x14ac:dyDescent="0.45">
      <c r="A168" s="4" t="s">
        <v>254</v>
      </c>
      <c r="B168" s="5">
        <v>46058</v>
      </c>
      <c r="C168" s="4">
        <v>151336622</v>
      </c>
      <c r="D168" s="16" t="s">
        <v>1551</v>
      </c>
    </row>
    <row r="169" spans="1:4" x14ac:dyDescent="0.45">
      <c r="A169" s="4" t="s">
        <v>254</v>
      </c>
      <c r="B169" s="5">
        <v>46058</v>
      </c>
      <c r="C169" s="4">
        <v>151336813</v>
      </c>
      <c r="D169" s="16" t="s">
        <v>1551</v>
      </c>
    </row>
    <row r="170" spans="1:4" x14ac:dyDescent="0.45">
      <c r="A170" s="2" t="s">
        <v>254</v>
      </c>
      <c r="B170" s="3">
        <v>46059</v>
      </c>
      <c r="C170" s="2">
        <v>151337890</v>
      </c>
      <c r="D170" s="16" t="s">
        <v>1551</v>
      </c>
    </row>
    <row r="171" spans="1:4" x14ac:dyDescent="0.45">
      <c r="A171" s="2"/>
      <c r="B171" s="3">
        <v>46060</v>
      </c>
      <c r="C171" s="2">
        <v>151339983</v>
      </c>
      <c r="D171" s="16" t="s">
        <v>1551</v>
      </c>
    </row>
    <row r="172" spans="1:4" x14ac:dyDescent="0.45">
      <c r="A172" s="4" t="s">
        <v>254</v>
      </c>
      <c r="B172" s="5">
        <v>46060</v>
      </c>
      <c r="C172" s="4">
        <v>151340019</v>
      </c>
      <c r="D172" s="16" t="s">
        <v>1551</v>
      </c>
    </row>
    <row r="173" spans="1:4" x14ac:dyDescent="0.45">
      <c r="A173" s="4" t="s">
        <v>1065</v>
      </c>
      <c r="B173" s="5">
        <v>46060</v>
      </c>
      <c r="C173" s="4">
        <v>151340180</v>
      </c>
      <c r="D173" s="16" t="s">
        <v>1551</v>
      </c>
    </row>
    <row r="174" spans="1:4" x14ac:dyDescent="0.45">
      <c r="A174" s="2" t="s">
        <v>254</v>
      </c>
      <c r="B174" s="3">
        <v>46060</v>
      </c>
      <c r="C174" s="2">
        <v>151340227</v>
      </c>
      <c r="D174" s="16" t="s">
        <v>1551</v>
      </c>
    </row>
    <row r="175" spans="1:4" x14ac:dyDescent="0.45">
      <c r="A175" s="4"/>
      <c r="B175" s="5">
        <v>46060</v>
      </c>
      <c r="C175" s="4">
        <v>151340271</v>
      </c>
      <c r="D175" s="16" t="s">
        <v>1551</v>
      </c>
    </row>
    <row r="176" spans="1:4" x14ac:dyDescent="0.45">
      <c r="A176" s="4" t="s">
        <v>254</v>
      </c>
      <c r="B176" s="5">
        <v>46060</v>
      </c>
      <c r="C176" s="4">
        <v>151340287</v>
      </c>
      <c r="D176" s="16" t="s">
        <v>1551</v>
      </c>
    </row>
    <row r="177" spans="1:4" x14ac:dyDescent="0.45">
      <c r="A177" s="2" t="s">
        <v>1065</v>
      </c>
      <c r="B177" s="3">
        <v>46062</v>
      </c>
      <c r="C177" s="2">
        <v>151341245</v>
      </c>
      <c r="D177" s="16" t="s">
        <v>1551</v>
      </c>
    </row>
    <row r="178" spans="1:4" x14ac:dyDescent="0.45">
      <c r="A178" s="4" t="s">
        <v>1065</v>
      </c>
      <c r="B178" s="5">
        <v>46063</v>
      </c>
      <c r="C178" s="4">
        <v>151344718</v>
      </c>
      <c r="D178" s="16" t="s">
        <v>1551</v>
      </c>
    </row>
    <row r="179" spans="1:4" x14ac:dyDescent="0.45">
      <c r="A179" s="4" t="s">
        <v>254</v>
      </c>
      <c r="B179" s="5">
        <v>46063</v>
      </c>
      <c r="C179" s="4">
        <v>151344986</v>
      </c>
      <c r="D179" s="16" t="s">
        <v>1551</v>
      </c>
    </row>
    <row r="180" spans="1:4" x14ac:dyDescent="0.45">
      <c r="A180" s="2" t="s">
        <v>254</v>
      </c>
      <c r="B180" s="3">
        <v>46084</v>
      </c>
      <c r="C180" s="2">
        <v>151384340</v>
      </c>
      <c r="D180" s="16" t="s">
        <v>1551</v>
      </c>
    </row>
    <row r="181" spans="1:4" x14ac:dyDescent="0.45">
      <c r="A181" s="2" t="s">
        <v>254</v>
      </c>
      <c r="B181" s="3">
        <v>46084</v>
      </c>
      <c r="C181" s="2">
        <v>151384579</v>
      </c>
      <c r="D181" s="16" t="s">
        <v>1551</v>
      </c>
    </row>
    <row r="182" spans="1:4" x14ac:dyDescent="0.45">
      <c r="A182" s="4" t="s">
        <v>254</v>
      </c>
      <c r="B182" s="5">
        <v>46085</v>
      </c>
      <c r="C182" s="4">
        <v>151386495</v>
      </c>
      <c r="D182" s="16" t="s">
        <v>1551</v>
      </c>
    </row>
    <row r="183" spans="1:4" x14ac:dyDescent="0.45">
      <c r="A183" s="2" t="s">
        <v>254</v>
      </c>
      <c r="B183" s="3">
        <v>46091</v>
      </c>
      <c r="C183" s="2">
        <v>151396975</v>
      </c>
      <c r="D183" s="16" t="s">
        <v>1551</v>
      </c>
    </row>
    <row r="184" spans="1:4" x14ac:dyDescent="0.45">
      <c r="A184" s="4" t="s">
        <v>254</v>
      </c>
      <c r="B184" s="5">
        <v>46108</v>
      </c>
      <c r="C184" s="4">
        <v>151428398</v>
      </c>
      <c r="D184" s="16" t="s">
        <v>1551</v>
      </c>
    </row>
    <row r="185" spans="1:4" x14ac:dyDescent="0.45">
      <c r="A185" s="2" t="s">
        <v>254</v>
      </c>
      <c r="B185" s="3">
        <v>46112</v>
      </c>
      <c r="C185" s="2">
        <v>151433451</v>
      </c>
      <c r="D185" s="16" t="s">
        <v>1551</v>
      </c>
    </row>
    <row r="186" spans="1:4" x14ac:dyDescent="0.45">
      <c r="A186" s="2" t="s">
        <v>254</v>
      </c>
      <c r="B186" s="3">
        <v>46114</v>
      </c>
      <c r="C186" s="2">
        <v>151438772</v>
      </c>
      <c r="D186" s="16" t="s">
        <v>1551</v>
      </c>
    </row>
    <row r="187" spans="1:4" x14ac:dyDescent="0.45">
      <c r="A187" s="2" t="s">
        <v>254</v>
      </c>
      <c r="B187" s="3">
        <v>46122</v>
      </c>
      <c r="C187" s="2">
        <v>151451990</v>
      </c>
      <c r="D187" s="16" t="s">
        <v>1551</v>
      </c>
    </row>
    <row r="188" spans="1:4" x14ac:dyDescent="0.45">
      <c r="A188" s="2" t="s">
        <v>254</v>
      </c>
      <c r="B188" s="3">
        <v>46127</v>
      </c>
      <c r="C188" s="2">
        <v>151460750</v>
      </c>
      <c r="D188" s="16" t="s">
        <v>1551</v>
      </c>
    </row>
    <row r="189" spans="1:4" x14ac:dyDescent="0.45">
      <c r="A189" s="2" t="s">
        <v>254</v>
      </c>
      <c r="B189" s="3">
        <v>46063</v>
      </c>
      <c r="C189" s="2">
        <v>151345069</v>
      </c>
      <c r="D189" s="17" t="s">
        <v>1531</v>
      </c>
    </row>
    <row r="190" spans="1:4" x14ac:dyDescent="0.45">
      <c r="A190" s="2" t="s">
        <v>254</v>
      </c>
      <c r="B190" s="3">
        <v>46063</v>
      </c>
      <c r="C190" s="2">
        <v>151345417</v>
      </c>
      <c r="D190" s="17" t="s">
        <v>1531</v>
      </c>
    </row>
    <row r="191" spans="1:4" x14ac:dyDescent="0.45">
      <c r="A191" s="2" t="s">
        <v>254</v>
      </c>
      <c r="B191" s="3">
        <v>46063</v>
      </c>
      <c r="C191" s="2">
        <v>151345444</v>
      </c>
      <c r="D191" s="17" t="s">
        <v>1531</v>
      </c>
    </row>
    <row r="192" spans="1:4" x14ac:dyDescent="0.45">
      <c r="A192" s="4" t="s">
        <v>254</v>
      </c>
      <c r="B192" s="5">
        <v>46063</v>
      </c>
      <c r="C192" s="4">
        <v>151345456</v>
      </c>
      <c r="D192" s="16" t="s">
        <v>1531</v>
      </c>
    </row>
    <row r="193" spans="1:4" x14ac:dyDescent="0.45">
      <c r="A193" s="2" t="s">
        <v>254</v>
      </c>
      <c r="B193" s="3">
        <v>46064</v>
      </c>
      <c r="C193" s="2">
        <v>151347004</v>
      </c>
      <c r="D193" s="17" t="s">
        <v>1531</v>
      </c>
    </row>
    <row r="194" spans="1:4" x14ac:dyDescent="0.45">
      <c r="A194" s="2" t="s">
        <v>254</v>
      </c>
      <c r="B194" s="3">
        <v>46064</v>
      </c>
      <c r="C194" s="2">
        <v>151347082</v>
      </c>
      <c r="D194" s="17" t="s">
        <v>1531</v>
      </c>
    </row>
    <row r="195" spans="1:4" x14ac:dyDescent="0.45">
      <c r="A195" s="2"/>
      <c r="B195" s="3">
        <v>46064</v>
      </c>
      <c r="C195" s="2">
        <v>151347223</v>
      </c>
      <c r="D195" s="17" t="s">
        <v>1532</v>
      </c>
    </row>
    <row r="196" spans="1:4" x14ac:dyDescent="0.45">
      <c r="A196" s="4"/>
      <c r="B196" s="5">
        <v>46064</v>
      </c>
      <c r="C196" s="4">
        <v>151347272</v>
      </c>
      <c r="D196" s="16" t="s">
        <v>1532</v>
      </c>
    </row>
    <row r="197" spans="1:4" x14ac:dyDescent="0.45">
      <c r="A197" s="4" t="s">
        <v>254</v>
      </c>
      <c r="B197" s="5">
        <v>46064</v>
      </c>
      <c r="C197" s="4">
        <v>151347341</v>
      </c>
      <c r="D197" s="16" t="s">
        <v>1532</v>
      </c>
    </row>
    <row r="198" spans="1:4" x14ac:dyDescent="0.45">
      <c r="A198" s="2" t="s">
        <v>1065</v>
      </c>
      <c r="B198" s="3">
        <v>46064</v>
      </c>
      <c r="C198" s="2">
        <v>151347392</v>
      </c>
      <c r="D198" s="17" t="s">
        <v>1532</v>
      </c>
    </row>
    <row r="199" spans="1:4" x14ac:dyDescent="0.45">
      <c r="A199" s="4" t="s">
        <v>254</v>
      </c>
      <c r="B199" s="5">
        <v>46064</v>
      </c>
      <c r="C199" s="4">
        <v>151347414</v>
      </c>
      <c r="D199" s="16" t="s">
        <v>1532</v>
      </c>
    </row>
    <row r="200" spans="1:4" x14ac:dyDescent="0.45">
      <c r="A200" s="4" t="s">
        <v>254</v>
      </c>
      <c r="B200" s="5">
        <v>46064</v>
      </c>
      <c r="C200" s="4">
        <v>151347418</v>
      </c>
      <c r="D200" s="16" t="s">
        <v>1533</v>
      </c>
    </row>
    <row r="201" spans="1:4" x14ac:dyDescent="0.45">
      <c r="A201" s="2" t="s">
        <v>1065</v>
      </c>
      <c r="B201" s="3">
        <v>46064</v>
      </c>
      <c r="C201" s="2">
        <v>151347483</v>
      </c>
      <c r="D201" s="17" t="s">
        <v>1533</v>
      </c>
    </row>
    <row r="202" spans="1:4" x14ac:dyDescent="0.45">
      <c r="A202" s="4" t="s">
        <v>1065</v>
      </c>
      <c r="B202" s="5">
        <v>46064</v>
      </c>
      <c r="C202" s="4">
        <v>151347620</v>
      </c>
      <c r="D202" s="16" t="s">
        <v>1533</v>
      </c>
    </row>
    <row r="203" spans="1:4" x14ac:dyDescent="0.45">
      <c r="A203" s="4" t="s">
        <v>1065</v>
      </c>
      <c r="B203" s="5">
        <v>46066</v>
      </c>
      <c r="C203" s="4">
        <v>151351790</v>
      </c>
      <c r="D203" s="16" t="s">
        <v>1534</v>
      </c>
    </row>
    <row r="204" spans="1:4" x14ac:dyDescent="0.45">
      <c r="A204" s="4"/>
      <c r="B204" s="5">
        <v>46066</v>
      </c>
      <c r="C204" s="4">
        <v>151351904</v>
      </c>
      <c r="D204" s="16" t="s">
        <v>1534</v>
      </c>
    </row>
    <row r="205" spans="1:4" x14ac:dyDescent="0.45">
      <c r="A205" s="2" t="s">
        <v>254</v>
      </c>
      <c r="B205" s="3">
        <v>46066</v>
      </c>
      <c r="C205" s="2">
        <v>151351958</v>
      </c>
      <c r="D205" s="17" t="s">
        <v>1534</v>
      </c>
    </row>
    <row r="206" spans="1:4" x14ac:dyDescent="0.45">
      <c r="A206" s="4" t="s">
        <v>254</v>
      </c>
      <c r="B206" s="5">
        <v>46067</v>
      </c>
      <c r="C206" s="4">
        <v>151352128</v>
      </c>
      <c r="D206" s="16" t="s">
        <v>1534</v>
      </c>
    </row>
    <row r="207" spans="1:4" x14ac:dyDescent="0.45">
      <c r="A207" s="4" t="s">
        <v>1065</v>
      </c>
      <c r="B207" s="5">
        <v>46067</v>
      </c>
      <c r="C207" s="4">
        <v>151352134</v>
      </c>
      <c r="D207" s="16" t="s">
        <v>1534</v>
      </c>
    </row>
    <row r="208" spans="1:4" x14ac:dyDescent="0.45">
      <c r="A208" s="2" t="s">
        <v>1065</v>
      </c>
      <c r="B208" s="3">
        <v>46067</v>
      </c>
      <c r="C208" s="2">
        <v>151352145</v>
      </c>
      <c r="D208" s="17" t="s">
        <v>1534</v>
      </c>
    </row>
    <row r="209" spans="1:4" x14ac:dyDescent="0.45">
      <c r="A209" s="2" t="s">
        <v>1065</v>
      </c>
      <c r="B209" s="3">
        <v>46067</v>
      </c>
      <c r="C209" s="2">
        <v>151352184</v>
      </c>
      <c r="D209" s="17" t="s">
        <v>1534</v>
      </c>
    </row>
    <row r="210" spans="1:4" x14ac:dyDescent="0.45">
      <c r="A210" s="2" t="s">
        <v>254</v>
      </c>
      <c r="B210" s="3">
        <v>46067</v>
      </c>
      <c r="C210" s="2">
        <v>151352519</v>
      </c>
      <c r="D210" s="17" t="s">
        <v>1534</v>
      </c>
    </row>
    <row r="211" spans="1:4" x14ac:dyDescent="0.45">
      <c r="A211" s="2"/>
      <c r="B211" s="3">
        <v>46067</v>
      </c>
      <c r="C211" s="2">
        <v>151352524</v>
      </c>
      <c r="D211" s="17" t="s">
        <v>1534</v>
      </c>
    </row>
    <row r="212" spans="1:4" x14ac:dyDescent="0.45">
      <c r="A212" s="4" t="s">
        <v>1065</v>
      </c>
      <c r="B212" s="5">
        <v>46067</v>
      </c>
      <c r="C212" s="4">
        <v>151352914</v>
      </c>
      <c r="D212" s="16" t="s">
        <v>1534</v>
      </c>
    </row>
    <row r="213" spans="1:4" x14ac:dyDescent="0.45">
      <c r="A213" s="2" t="s">
        <v>254</v>
      </c>
      <c r="B213" s="3">
        <v>46067</v>
      </c>
      <c r="C213" s="2">
        <v>151352921</v>
      </c>
      <c r="D213" s="17" t="s">
        <v>1534</v>
      </c>
    </row>
    <row r="214" spans="1:4" x14ac:dyDescent="0.45">
      <c r="A214" s="4"/>
      <c r="B214" s="5">
        <v>46067</v>
      </c>
      <c r="C214" s="4">
        <v>151352947</v>
      </c>
      <c r="D214" s="16" t="s">
        <v>1534</v>
      </c>
    </row>
    <row r="215" spans="1:4" x14ac:dyDescent="0.45">
      <c r="A215" s="2" t="s">
        <v>1065</v>
      </c>
      <c r="B215" s="3">
        <v>46067</v>
      </c>
      <c r="C215" s="2">
        <v>151352984</v>
      </c>
      <c r="D215" s="17" t="s">
        <v>1534</v>
      </c>
    </row>
    <row r="216" spans="1:4" x14ac:dyDescent="0.45">
      <c r="A216" s="2" t="s">
        <v>254</v>
      </c>
      <c r="B216" s="3">
        <v>46156</v>
      </c>
      <c r="C216" s="2">
        <v>151506866</v>
      </c>
      <c r="D216" s="16" t="s">
        <v>1553</v>
      </c>
    </row>
    <row r="217" spans="1:4" x14ac:dyDescent="0.45">
      <c r="A217" s="2" t="s">
        <v>254</v>
      </c>
      <c r="B217" s="3">
        <v>46157</v>
      </c>
      <c r="C217" s="2">
        <v>151509485</v>
      </c>
      <c r="D217" s="16" t="s">
        <v>1553</v>
      </c>
    </row>
    <row r="218" spans="1:4" x14ac:dyDescent="0.45">
      <c r="A218" s="4" t="s">
        <v>254</v>
      </c>
      <c r="B218" s="5">
        <v>46157</v>
      </c>
      <c r="C218" s="4">
        <v>151509562</v>
      </c>
      <c r="D218" s="16" t="s">
        <v>1553</v>
      </c>
    </row>
    <row r="219" spans="1:4" x14ac:dyDescent="0.45">
      <c r="A219" s="2" t="s">
        <v>254</v>
      </c>
      <c r="B219" s="3">
        <v>46160</v>
      </c>
      <c r="C219" s="2">
        <v>151512471</v>
      </c>
      <c r="D219" s="16" t="s">
        <v>1553</v>
      </c>
    </row>
    <row r="220" spans="1:4" x14ac:dyDescent="0.45">
      <c r="A220" s="4"/>
      <c r="B220" s="5">
        <v>46162</v>
      </c>
      <c r="C220" s="4">
        <v>151515758</v>
      </c>
      <c r="D220" s="16" t="s">
        <v>1553</v>
      </c>
    </row>
    <row r="221" spans="1:4" x14ac:dyDescent="0.45">
      <c r="A221" s="4" t="s">
        <v>1065</v>
      </c>
      <c r="B221" s="5">
        <v>46162</v>
      </c>
      <c r="C221" s="4">
        <v>151516918</v>
      </c>
      <c r="D221" s="16" t="s">
        <v>1553</v>
      </c>
    </row>
    <row r="222" spans="1:4" x14ac:dyDescent="0.45">
      <c r="A222" s="2"/>
      <c r="B222" s="3">
        <v>46162</v>
      </c>
      <c r="C222" s="2">
        <v>151517000</v>
      </c>
      <c r="D222" s="16" t="s">
        <v>1553</v>
      </c>
    </row>
    <row r="223" spans="1:4" x14ac:dyDescent="0.45">
      <c r="A223" s="4"/>
      <c r="B223" s="5">
        <v>46162</v>
      </c>
      <c r="C223" s="4">
        <v>151517318</v>
      </c>
      <c r="D223" s="16" t="s">
        <v>1553</v>
      </c>
    </row>
    <row r="224" spans="1:4" x14ac:dyDescent="0.45">
      <c r="A224" s="2" t="s">
        <v>254</v>
      </c>
      <c r="B224" s="3">
        <v>46128</v>
      </c>
      <c r="C224" s="2">
        <v>151462960</v>
      </c>
      <c r="D224" s="16" t="s">
        <v>1553</v>
      </c>
    </row>
    <row r="225" spans="1:4" x14ac:dyDescent="0.45">
      <c r="A225" s="4" t="s">
        <v>1065</v>
      </c>
      <c r="B225" s="5">
        <v>46133</v>
      </c>
      <c r="C225" s="4">
        <v>151470618</v>
      </c>
      <c r="D225" s="16" t="s">
        <v>1553</v>
      </c>
    </row>
    <row r="226" spans="1:4" x14ac:dyDescent="0.45">
      <c r="A226" s="2" t="s">
        <v>254</v>
      </c>
      <c r="B226" s="3">
        <v>46134</v>
      </c>
      <c r="C226" s="2">
        <v>151472537</v>
      </c>
      <c r="D226" s="16" t="s">
        <v>1553</v>
      </c>
    </row>
    <row r="227" spans="1:4" x14ac:dyDescent="0.45">
      <c r="A227" s="4" t="s">
        <v>254</v>
      </c>
      <c r="B227" s="5">
        <v>46135</v>
      </c>
      <c r="C227" s="4">
        <v>151473856</v>
      </c>
      <c r="D227" s="16" t="s">
        <v>1553</v>
      </c>
    </row>
    <row r="228" spans="1:4" x14ac:dyDescent="0.45">
      <c r="A228" s="2" t="s">
        <v>254</v>
      </c>
      <c r="B228" s="3">
        <v>46139</v>
      </c>
      <c r="C228" s="2">
        <v>151479237</v>
      </c>
      <c r="D228" s="16" t="s">
        <v>1553</v>
      </c>
    </row>
    <row r="229" spans="1:4" x14ac:dyDescent="0.45">
      <c r="A229" s="2" t="s">
        <v>254</v>
      </c>
      <c r="B229" s="3">
        <v>46140</v>
      </c>
      <c r="C229" s="2">
        <v>151481807</v>
      </c>
      <c r="D229" s="16" t="s">
        <v>1553</v>
      </c>
    </row>
    <row r="230" spans="1:4" x14ac:dyDescent="0.45">
      <c r="A230" s="2" t="s">
        <v>254</v>
      </c>
      <c r="B230" s="3">
        <v>46143</v>
      </c>
      <c r="C230" s="2">
        <v>151486768</v>
      </c>
      <c r="D230" s="16" t="s">
        <v>1553</v>
      </c>
    </row>
    <row r="231" spans="1:4" x14ac:dyDescent="0.45">
      <c r="A231" s="2" t="s">
        <v>254</v>
      </c>
      <c r="B231" s="3">
        <v>46146</v>
      </c>
      <c r="C231" s="2">
        <v>151488756</v>
      </c>
      <c r="D231" s="16" t="s">
        <v>1553</v>
      </c>
    </row>
    <row r="232" spans="1:4" x14ac:dyDescent="0.45">
      <c r="A232" s="4" t="s">
        <v>254</v>
      </c>
      <c r="B232" s="5">
        <v>46147</v>
      </c>
      <c r="C232" s="4">
        <v>151492435</v>
      </c>
      <c r="D232" s="16" t="s">
        <v>1553</v>
      </c>
    </row>
    <row r="233" spans="1:4" x14ac:dyDescent="0.45">
      <c r="A233" s="2" t="s">
        <v>254</v>
      </c>
      <c r="B233" s="3">
        <v>46150</v>
      </c>
      <c r="C233" s="2">
        <v>151498103</v>
      </c>
      <c r="D233" s="16" t="s">
        <v>1553</v>
      </c>
    </row>
    <row r="234" spans="1:4" x14ac:dyDescent="0.45">
      <c r="A234" s="4" t="s">
        <v>254</v>
      </c>
      <c r="B234" s="5">
        <v>46150</v>
      </c>
      <c r="C234" s="4">
        <v>151498119</v>
      </c>
      <c r="D234" s="16" t="s">
        <v>1553</v>
      </c>
    </row>
    <row r="235" spans="1:4" x14ac:dyDescent="0.45">
      <c r="A235" s="4" t="s">
        <v>254</v>
      </c>
      <c r="B235" s="5">
        <v>46153</v>
      </c>
      <c r="C235" s="4">
        <v>151501574</v>
      </c>
      <c r="D235" s="16" t="s">
        <v>1553</v>
      </c>
    </row>
    <row r="236" spans="1:4" x14ac:dyDescent="0.45">
      <c r="A236" s="4" t="s">
        <v>254</v>
      </c>
      <c r="B236" s="5">
        <v>46153</v>
      </c>
      <c r="C236" s="4">
        <v>151501625</v>
      </c>
      <c r="D236" s="16" t="s">
        <v>1553</v>
      </c>
    </row>
    <row r="237" spans="1:4" x14ac:dyDescent="0.45">
      <c r="A237" s="4" t="s">
        <v>254</v>
      </c>
      <c r="B237" s="5">
        <v>46119</v>
      </c>
      <c r="C237" s="4">
        <v>151445949</v>
      </c>
      <c r="D237" s="16" t="s">
        <v>1535</v>
      </c>
    </row>
    <row r="238" spans="1:4" x14ac:dyDescent="0.45">
      <c r="A238" s="2" t="s">
        <v>254</v>
      </c>
      <c r="B238" s="3">
        <v>46083</v>
      </c>
      <c r="C238" s="2">
        <v>151381611</v>
      </c>
      <c r="D238" s="17" t="s">
        <v>1536</v>
      </c>
    </row>
    <row r="239" spans="1:4" x14ac:dyDescent="0.45">
      <c r="A239" s="4" t="s">
        <v>254</v>
      </c>
      <c r="B239" s="5">
        <v>46083</v>
      </c>
      <c r="C239" s="4">
        <v>151381657</v>
      </c>
      <c r="D239" s="16" t="s">
        <v>1536</v>
      </c>
    </row>
    <row r="240" spans="1:4" x14ac:dyDescent="0.45">
      <c r="A240" s="4" t="s">
        <v>254</v>
      </c>
      <c r="B240" s="5">
        <v>46084</v>
      </c>
      <c r="C240" s="4">
        <v>151384604</v>
      </c>
      <c r="D240" s="16" t="s">
        <v>1536</v>
      </c>
    </row>
    <row r="241" spans="1:4" x14ac:dyDescent="0.45">
      <c r="A241" s="4" t="s">
        <v>254</v>
      </c>
      <c r="B241" s="5">
        <v>46084</v>
      </c>
      <c r="C241" s="4">
        <v>151384631</v>
      </c>
      <c r="D241" s="16" t="s">
        <v>1536</v>
      </c>
    </row>
    <row r="242" spans="1:4" x14ac:dyDescent="0.45">
      <c r="A242" s="2" t="s">
        <v>254</v>
      </c>
      <c r="B242" s="3">
        <v>46085</v>
      </c>
      <c r="C242" s="2">
        <v>151386396</v>
      </c>
      <c r="D242" s="17" t="s">
        <v>1536</v>
      </c>
    </row>
    <row r="243" spans="1:4" x14ac:dyDescent="0.45">
      <c r="A243" s="2" t="s">
        <v>254</v>
      </c>
      <c r="B243" s="3">
        <v>46091</v>
      </c>
      <c r="C243" s="2">
        <v>151396641</v>
      </c>
      <c r="D243" s="17" t="s">
        <v>1536</v>
      </c>
    </row>
    <row r="244" spans="1:4" x14ac:dyDescent="0.45">
      <c r="A244" s="4" t="s">
        <v>254</v>
      </c>
      <c r="B244" s="5">
        <v>46091</v>
      </c>
      <c r="C244" s="4">
        <v>151396709</v>
      </c>
      <c r="D244" s="16" t="s">
        <v>1536</v>
      </c>
    </row>
    <row r="245" spans="1:4" x14ac:dyDescent="0.45">
      <c r="A245" s="4" t="s">
        <v>254</v>
      </c>
      <c r="B245" s="5">
        <v>46092</v>
      </c>
      <c r="C245" s="4">
        <v>151399114</v>
      </c>
      <c r="D245" s="16" t="s">
        <v>1536</v>
      </c>
    </row>
    <row r="246" spans="1:4" x14ac:dyDescent="0.45">
      <c r="A246" s="2" t="s">
        <v>254</v>
      </c>
      <c r="B246" s="3">
        <v>46093</v>
      </c>
      <c r="C246" s="2">
        <v>151401217</v>
      </c>
      <c r="D246" s="17" t="s">
        <v>1536</v>
      </c>
    </row>
    <row r="247" spans="1:4" x14ac:dyDescent="0.45">
      <c r="A247" s="4" t="s">
        <v>254</v>
      </c>
      <c r="B247" s="5">
        <v>46148</v>
      </c>
      <c r="C247" s="4">
        <v>151494524</v>
      </c>
      <c r="D247" s="16" t="s">
        <v>1537</v>
      </c>
    </row>
    <row r="248" spans="1:4" x14ac:dyDescent="0.45">
      <c r="A248" s="4" t="s">
        <v>254</v>
      </c>
      <c r="B248" s="5">
        <v>46150</v>
      </c>
      <c r="C248" s="4">
        <v>151496895</v>
      </c>
      <c r="D248" s="16" t="s">
        <v>1537</v>
      </c>
    </row>
    <row r="249" spans="1:4" x14ac:dyDescent="0.45">
      <c r="A249" s="2" t="s">
        <v>1065</v>
      </c>
      <c r="B249" s="3">
        <v>46150</v>
      </c>
      <c r="C249" s="2">
        <v>151497732</v>
      </c>
      <c r="D249" s="17" t="s">
        <v>1537</v>
      </c>
    </row>
    <row r="250" spans="1:4" x14ac:dyDescent="0.45">
      <c r="A250" s="4" t="s">
        <v>254</v>
      </c>
      <c r="B250" s="5">
        <v>46150</v>
      </c>
      <c r="C250" s="4">
        <v>151497756</v>
      </c>
      <c r="D250" s="16" t="s">
        <v>1537</v>
      </c>
    </row>
    <row r="251" spans="1:4" x14ac:dyDescent="0.45">
      <c r="A251" s="2" t="s">
        <v>254</v>
      </c>
      <c r="B251" s="3">
        <v>46153</v>
      </c>
      <c r="C251" s="2">
        <v>151500396</v>
      </c>
      <c r="D251" s="17" t="s">
        <v>1537</v>
      </c>
    </row>
    <row r="252" spans="1:4" x14ac:dyDescent="0.45">
      <c r="A252" s="4" t="s">
        <v>1065</v>
      </c>
      <c r="B252" s="5">
        <v>46154</v>
      </c>
      <c r="C252" s="4">
        <v>151503029</v>
      </c>
      <c r="D252" s="16" t="s">
        <v>1537</v>
      </c>
    </row>
    <row r="253" spans="1:4" x14ac:dyDescent="0.45">
      <c r="A253" s="4" t="s">
        <v>254</v>
      </c>
      <c r="B253" s="5">
        <v>46067</v>
      </c>
      <c r="C253" s="4">
        <v>151353056</v>
      </c>
      <c r="D253" s="16" t="s">
        <v>1552</v>
      </c>
    </row>
    <row r="254" spans="1:4" x14ac:dyDescent="0.45">
      <c r="A254" s="2" t="s">
        <v>1065</v>
      </c>
      <c r="B254" s="3">
        <v>46069</v>
      </c>
      <c r="C254" s="2">
        <v>151355770</v>
      </c>
      <c r="D254" s="16" t="s">
        <v>1552</v>
      </c>
    </row>
    <row r="255" spans="1:4" x14ac:dyDescent="0.45">
      <c r="A255" s="4" t="s">
        <v>1065</v>
      </c>
      <c r="B255" s="5">
        <v>46069</v>
      </c>
      <c r="C255" s="4">
        <v>151355819</v>
      </c>
      <c r="D255" s="16" t="s">
        <v>1552</v>
      </c>
    </row>
    <row r="256" spans="1:4" x14ac:dyDescent="0.45">
      <c r="A256" s="2" t="s">
        <v>254</v>
      </c>
      <c r="B256" s="3">
        <v>46069</v>
      </c>
      <c r="C256" s="2">
        <v>151355829</v>
      </c>
      <c r="D256" s="16" t="s">
        <v>1552</v>
      </c>
    </row>
    <row r="257" spans="1:4" x14ac:dyDescent="0.45">
      <c r="A257" s="4" t="s">
        <v>1065</v>
      </c>
      <c r="B257" s="5">
        <v>46069</v>
      </c>
      <c r="C257" s="4">
        <v>151355893</v>
      </c>
      <c r="D257" s="16" t="s">
        <v>1552</v>
      </c>
    </row>
    <row r="258" spans="1:4" x14ac:dyDescent="0.45">
      <c r="A258" s="2" t="s">
        <v>254</v>
      </c>
      <c r="B258" s="3">
        <v>46069</v>
      </c>
      <c r="C258" s="2">
        <v>151355954</v>
      </c>
      <c r="D258" s="16" t="s">
        <v>1552</v>
      </c>
    </row>
    <row r="259" spans="1:4" x14ac:dyDescent="0.45">
      <c r="A259" s="4" t="s">
        <v>254</v>
      </c>
      <c r="B259" s="5">
        <v>46069</v>
      </c>
      <c r="C259" s="4">
        <v>151356015</v>
      </c>
      <c r="D259" s="16" t="s">
        <v>1552</v>
      </c>
    </row>
    <row r="260" spans="1:4" x14ac:dyDescent="0.45">
      <c r="A260" s="4" t="s">
        <v>254</v>
      </c>
      <c r="B260" s="5">
        <v>46069</v>
      </c>
      <c r="C260" s="4">
        <v>151356050</v>
      </c>
      <c r="D260" s="16" t="s">
        <v>1552</v>
      </c>
    </row>
    <row r="261" spans="1:4" x14ac:dyDescent="0.45">
      <c r="A261" s="4" t="s">
        <v>1065</v>
      </c>
      <c r="B261" s="5">
        <v>46070</v>
      </c>
      <c r="C261" s="4">
        <v>151356366</v>
      </c>
      <c r="D261" s="16" t="s">
        <v>1552</v>
      </c>
    </row>
    <row r="262" spans="1:4" x14ac:dyDescent="0.45">
      <c r="A262" s="2" t="s">
        <v>1065</v>
      </c>
      <c r="B262" s="3">
        <v>46070</v>
      </c>
      <c r="C262" s="2">
        <v>151357960</v>
      </c>
      <c r="D262" s="16" t="s">
        <v>1552</v>
      </c>
    </row>
    <row r="263" spans="1:4" x14ac:dyDescent="0.45">
      <c r="A263" s="4" t="s">
        <v>254</v>
      </c>
      <c r="B263" s="5">
        <v>46070</v>
      </c>
      <c r="C263" s="4">
        <v>151358128</v>
      </c>
      <c r="D263" s="16" t="s">
        <v>1552</v>
      </c>
    </row>
    <row r="264" spans="1:4" x14ac:dyDescent="0.45">
      <c r="A264" s="2" t="s">
        <v>1065</v>
      </c>
      <c r="B264" s="3">
        <v>46070</v>
      </c>
      <c r="C264" s="2">
        <v>151358176</v>
      </c>
      <c r="D264" s="16" t="s">
        <v>1552</v>
      </c>
    </row>
    <row r="265" spans="1:4" x14ac:dyDescent="0.45">
      <c r="A265" s="4" t="s">
        <v>254</v>
      </c>
      <c r="B265" s="5">
        <v>46070</v>
      </c>
      <c r="C265" s="4">
        <v>151358256</v>
      </c>
      <c r="D265" s="16" t="s">
        <v>1552</v>
      </c>
    </row>
    <row r="266" spans="1:4" x14ac:dyDescent="0.45">
      <c r="A266" s="4" t="s">
        <v>1065</v>
      </c>
      <c r="B266" s="5">
        <v>46070</v>
      </c>
      <c r="C266" s="4">
        <v>151358286</v>
      </c>
      <c r="D266" s="16" t="s">
        <v>1552</v>
      </c>
    </row>
    <row r="267" spans="1:4" x14ac:dyDescent="0.45">
      <c r="A267" s="2" t="s">
        <v>254</v>
      </c>
      <c r="B267" s="3">
        <v>46070</v>
      </c>
      <c r="C267" s="2">
        <v>151358405</v>
      </c>
      <c r="D267" s="16" t="s">
        <v>1552</v>
      </c>
    </row>
    <row r="268" spans="1:4" x14ac:dyDescent="0.45">
      <c r="A268" s="2" t="s">
        <v>1065</v>
      </c>
      <c r="B268" s="3">
        <v>46070</v>
      </c>
      <c r="C268" s="2">
        <v>151358427</v>
      </c>
      <c r="D268" s="16" t="s">
        <v>1552</v>
      </c>
    </row>
    <row r="269" spans="1:4" x14ac:dyDescent="0.45">
      <c r="A269" s="4" t="s">
        <v>254</v>
      </c>
      <c r="B269" s="5">
        <v>46072</v>
      </c>
      <c r="C269" s="4">
        <v>151360938</v>
      </c>
      <c r="D269" s="16" t="s">
        <v>1552</v>
      </c>
    </row>
    <row r="270" spans="1:4" x14ac:dyDescent="0.45">
      <c r="A270" s="2" t="s">
        <v>254</v>
      </c>
      <c r="B270" s="3">
        <v>46072</v>
      </c>
      <c r="C270" s="2">
        <v>151362611</v>
      </c>
      <c r="D270" s="16" t="s">
        <v>1552</v>
      </c>
    </row>
    <row r="271" spans="1:4" x14ac:dyDescent="0.45">
      <c r="A271" s="2" t="s">
        <v>254</v>
      </c>
      <c r="B271" s="3">
        <v>46072</v>
      </c>
      <c r="C271" s="2">
        <v>151362699</v>
      </c>
      <c r="D271" s="16" t="s">
        <v>1552</v>
      </c>
    </row>
    <row r="272" spans="1:4" x14ac:dyDescent="0.45">
      <c r="A272" s="4" t="s">
        <v>1065</v>
      </c>
      <c r="B272" s="5">
        <v>46072</v>
      </c>
      <c r="C272" s="4">
        <v>151362735</v>
      </c>
      <c r="D272" s="16" t="s">
        <v>1552</v>
      </c>
    </row>
    <row r="273" spans="1:4" x14ac:dyDescent="0.45">
      <c r="A273" s="4"/>
      <c r="B273" s="5">
        <v>46073</v>
      </c>
      <c r="C273" s="4">
        <v>151363050</v>
      </c>
      <c r="D273" s="16" t="s">
        <v>1552</v>
      </c>
    </row>
    <row r="274" spans="1:4" x14ac:dyDescent="0.45">
      <c r="A274" s="2"/>
      <c r="B274" s="3">
        <v>46073</v>
      </c>
      <c r="C274" s="2">
        <v>151363136</v>
      </c>
      <c r="D274" s="16" t="s">
        <v>1552</v>
      </c>
    </row>
    <row r="275" spans="1:4" x14ac:dyDescent="0.45">
      <c r="A275" s="2" t="s">
        <v>254</v>
      </c>
      <c r="B275" s="3">
        <v>46073</v>
      </c>
      <c r="C275" s="2">
        <v>151363167</v>
      </c>
      <c r="D275" s="16" t="s">
        <v>1552</v>
      </c>
    </row>
    <row r="276" spans="1:4" x14ac:dyDescent="0.45">
      <c r="A276" s="2" t="s">
        <v>254</v>
      </c>
      <c r="B276" s="3">
        <v>46073</v>
      </c>
      <c r="C276" s="2">
        <v>151363995</v>
      </c>
      <c r="D276" s="16" t="s">
        <v>1552</v>
      </c>
    </row>
    <row r="277" spans="1:4" x14ac:dyDescent="0.45">
      <c r="A277" s="4" t="s">
        <v>254</v>
      </c>
      <c r="B277" s="5">
        <v>46073</v>
      </c>
      <c r="C277" s="4">
        <v>151364505</v>
      </c>
      <c r="D277" s="16" t="s">
        <v>1552</v>
      </c>
    </row>
    <row r="278" spans="1:4" x14ac:dyDescent="0.45">
      <c r="A278" s="4" t="s">
        <v>254</v>
      </c>
      <c r="B278" s="5">
        <v>46073</v>
      </c>
      <c r="C278" s="4">
        <v>151364520</v>
      </c>
      <c r="D278" s="16" t="s">
        <v>1552</v>
      </c>
    </row>
    <row r="279" spans="1:4" x14ac:dyDescent="0.45">
      <c r="A279" s="4" t="s">
        <v>254</v>
      </c>
      <c r="B279" s="5">
        <v>46073</v>
      </c>
      <c r="C279" s="4">
        <v>151364539</v>
      </c>
      <c r="D279" s="16" t="s">
        <v>1552</v>
      </c>
    </row>
    <row r="280" spans="1:4" x14ac:dyDescent="0.45">
      <c r="A280" s="4" t="s">
        <v>254</v>
      </c>
      <c r="B280" s="5">
        <v>46090</v>
      </c>
      <c r="C280" s="4">
        <v>151394823</v>
      </c>
      <c r="D280" s="16" t="s">
        <v>1552</v>
      </c>
    </row>
    <row r="281" spans="1:4" x14ac:dyDescent="0.45">
      <c r="A281" s="4" t="s">
        <v>254</v>
      </c>
      <c r="B281" s="5">
        <v>46091</v>
      </c>
      <c r="C281" s="4">
        <v>151397079</v>
      </c>
      <c r="D281" s="16" t="s">
        <v>1552</v>
      </c>
    </row>
    <row r="282" spans="1:4" x14ac:dyDescent="0.45">
      <c r="A282" s="2" t="s">
        <v>254</v>
      </c>
      <c r="B282" s="3">
        <v>46099</v>
      </c>
      <c r="C282" s="2">
        <v>151409781</v>
      </c>
      <c r="D282" s="16" t="s">
        <v>1552</v>
      </c>
    </row>
    <row r="283" spans="1:4" x14ac:dyDescent="0.45">
      <c r="A283" s="4" t="s">
        <v>254</v>
      </c>
      <c r="B283" s="5">
        <v>46104</v>
      </c>
      <c r="C283" s="4">
        <v>151419851</v>
      </c>
      <c r="D283" s="16" t="s">
        <v>1552</v>
      </c>
    </row>
    <row r="284" spans="1:4" x14ac:dyDescent="0.45">
      <c r="A284" s="2" t="s">
        <v>254</v>
      </c>
      <c r="B284" s="3">
        <v>46104</v>
      </c>
      <c r="C284" s="2">
        <v>151419967</v>
      </c>
      <c r="D284" s="16" t="s">
        <v>1552</v>
      </c>
    </row>
    <row r="285" spans="1:4" x14ac:dyDescent="0.45">
      <c r="A285" s="2" t="s">
        <v>254</v>
      </c>
      <c r="B285" s="3">
        <v>46108</v>
      </c>
      <c r="C285" s="2">
        <v>151428449</v>
      </c>
      <c r="D285" s="16" t="s">
        <v>1552</v>
      </c>
    </row>
    <row r="286" spans="1:4" x14ac:dyDescent="0.45">
      <c r="A286" s="4" t="s">
        <v>254</v>
      </c>
      <c r="B286" s="5">
        <v>46114</v>
      </c>
      <c r="C286" s="4">
        <v>151437578</v>
      </c>
      <c r="D286" s="16" t="s">
        <v>1552</v>
      </c>
    </row>
    <row r="287" spans="1:4" x14ac:dyDescent="0.45">
      <c r="A287" s="2" t="s">
        <v>254</v>
      </c>
      <c r="B287" s="3">
        <v>46118</v>
      </c>
      <c r="C287" s="2">
        <v>151443794</v>
      </c>
      <c r="D287" s="16" t="s">
        <v>1552</v>
      </c>
    </row>
    <row r="288" spans="1:4" x14ac:dyDescent="0.45">
      <c r="A288" s="4" t="s">
        <v>254</v>
      </c>
      <c r="B288" s="5">
        <v>46122</v>
      </c>
      <c r="C288" s="4">
        <v>151451995</v>
      </c>
      <c r="D288" s="16" t="s">
        <v>1552</v>
      </c>
    </row>
    <row r="289" spans="1:4" x14ac:dyDescent="0.45">
      <c r="A289" s="2" t="s">
        <v>254</v>
      </c>
      <c r="B289" s="3">
        <v>46127</v>
      </c>
      <c r="C289" s="2">
        <v>151460687</v>
      </c>
      <c r="D289" s="16" t="s">
        <v>1552</v>
      </c>
    </row>
    <row r="290" spans="1:4" x14ac:dyDescent="0.45">
      <c r="A290" s="2" t="s">
        <v>254</v>
      </c>
      <c r="B290" s="3">
        <v>46137</v>
      </c>
      <c r="C290" s="2">
        <v>151477226</v>
      </c>
      <c r="D290" s="16" t="s">
        <v>1552</v>
      </c>
    </row>
    <row r="291" spans="1:4" x14ac:dyDescent="0.45">
      <c r="A291" s="4" t="s">
        <v>254</v>
      </c>
      <c r="B291" s="5">
        <v>46137</v>
      </c>
      <c r="C291" s="4">
        <v>151477273</v>
      </c>
      <c r="D291" s="16" t="s">
        <v>1552</v>
      </c>
    </row>
    <row r="292" spans="1:4" x14ac:dyDescent="0.45">
      <c r="A292" s="4" t="s">
        <v>254</v>
      </c>
      <c r="B292" s="5">
        <v>46147</v>
      </c>
      <c r="C292" s="4">
        <v>151492357</v>
      </c>
      <c r="D292" s="16" t="s">
        <v>1552</v>
      </c>
    </row>
    <row r="293" spans="1:4" x14ac:dyDescent="0.45">
      <c r="A293" s="2" t="s">
        <v>254</v>
      </c>
      <c r="B293" s="3">
        <v>46147</v>
      </c>
      <c r="C293" s="2">
        <v>151492481</v>
      </c>
      <c r="D293" s="16" t="s">
        <v>1552</v>
      </c>
    </row>
    <row r="294" spans="1:4" x14ac:dyDescent="0.45">
      <c r="A294" s="4" t="s">
        <v>254</v>
      </c>
      <c r="B294" s="5">
        <v>46148</v>
      </c>
      <c r="C294" s="4">
        <v>151492967</v>
      </c>
      <c r="D294" s="16" t="s">
        <v>1552</v>
      </c>
    </row>
    <row r="295" spans="1:4" x14ac:dyDescent="0.45">
      <c r="A295" s="2" t="s">
        <v>254</v>
      </c>
      <c r="B295" s="3">
        <v>46148</v>
      </c>
      <c r="C295" s="2">
        <v>151494294</v>
      </c>
      <c r="D295" s="16" t="s">
        <v>1552</v>
      </c>
    </row>
    <row r="296" spans="1:4" x14ac:dyDescent="0.45">
      <c r="A296" s="2" t="s">
        <v>254</v>
      </c>
      <c r="B296" s="3">
        <v>46153</v>
      </c>
      <c r="C296" s="2">
        <v>151499972</v>
      </c>
      <c r="D296" s="16" t="s">
        <v>1552</v>
      </c>
    </row>
    <row r="297" spans="1:4" x14ac:dyDescent="0.45">
      <c r="A297" s="4" t="s">
        <v>254</v>
      </c>
      <c r="B297" s="5">
        <v>46155</v>
      </c>
      <c r="C297" s="4">
        <v>151504026</v>
      </c>
      <c r="D297" s="16" t="s">
        <v>1552</v>
      </c>
    </row>
    <row r="298" spans="1:4" x14ac:dyDescent="0.45">
      <c r="A298" s="2" t="s">
        <v>254</v>
      </c>
      <c r="B298" s="3">
        <v>46157</v>
      </c>
      <c r="C298" s="2">
        <v>151509589</v>
      </c>
      <c r="D298" s="16" t="s">
        <v>1552</v>
      </c>
    </row>
    <row r="299" spans="1:4" x14ac:dyDescent="0.45">
      <c r="A299" s="2" t="s">
        <v>1065</v>
      </c>
      <c r="B299" s="3">
        <v>46073</v>
      </c>
      <c r="C299" s="2">
        <v>151364543</v>
      </c>
      <c r="D299" s="17" t="s">
        <v>1538</v>
      </c>
    </row>
    <row r="300" spans="1:4" x14ac:dyDescent="0.45">
      <c r="A300" s="4" t="s">
        <v>254</v>
      </c>
      <c r="B300" s="5">
        <v>46073</v>
      </c>
      <c r="C300" s="4">
        <v>151364624</v>
      </c>
      <c r="D300" s="16" t="s">
        <v>1538</v>
      </c>
    </row>
    <row r="301" spans="1:4" x14ac:dyDescent="0.45">
      <c r="A301" s="2" t="s">
        <v>254</v>
      </c>
      <c r="B301" s="3">
        <v>46073</v>
      </c>
      <c r="C301" s="2">
        <v>151364662</v>
      </c>
      <c r="D301" s="17" t="s">
        <v>1538</v>
      </c>
    </row>
    <row r="302" spans="1:4" x14ac:dyDescent="0.45">
      <c r="A302" s="2" t="s">
        <v>254</v>
      </c>
      <c r="B302" s="3">
        <v>46073</v>
      </c>
      <c r="C302" s="2">
        <v>151364767</v>
      </c>
      <c r="D302" s="17" t="s">
        <v>1538</v>
      </c>
    </row>
    <row r="303" spans="1:4" x14ac:dyDescent="0.45">
      <c r="A303" s="4" t="s">
        <v>254</v>
      </c>
      <c r="B303" s="5">
        <v>46074</v>
      </c>
      <c r="C303" s="4">
        <v>151365726</v>
      </c>
      <c r="D303" s="16" t="s">
        <v>1538</v>
      </c>
    </row>
    <row r="304" spans="1:4" x14ac:dyDescent="0.45">
      <c r="A304" s="2" t="s">
        <v>254</v>
      </c>
      <c r="B304" s="3">
        <v>46074</v>
      </c>
      <c r="C304" s="2">
        <v>151365764</v>
      </c>
      <c r="D304" s="17" t="s">
        <v>1538</v>
      </c>
    </row>
    <row r="305" spans="1:4" x14ac:dyDescent="0.45">
      <c r="A305" s="2" t="s">
        <v>254</v>
      </c>
      <c r="B305" s="3">
        <v>46074</v>
      </c>
      <c r="C305" s="2">
        <v>151365816</v>
      </c>
      <c r="D305" s="17" t="s">
        <v>1538</v>
      </c>
    </row>
    <row r="306" spans="1:4" x14ac:dyDescent="0.45">
      <c r="A306" s="4" t="s">
        <v>254</v>
      </c>
      <c r="B306" s="5">
        <v>46074</v>
      </c>
      <c r="C306" s="4">
        <v>151365830</v>
      </c>
      <c r="D306" s="16" t="s">
        <v>1538</v>
      </c>
    </row>
    <row r="307" spans="1:4" x14ac:dyDescent="0.45">
      <c r="A307" s="2"/>
      <c r="B307" s="3">
        <v>46074</v>
      </c>
      <c r="C307" s="2">
        <v>151365858</v>
      </c>
      <c r="D307" s="17" t="s">
        <v>1538</v>
      </c>
    </row>
    <row r="308" spans="1:4" x14ac:dyDescent="0.45">
      <c r="A308" s="4" t="s">
        <v>1065</v>
      </c>
      <c r="B308" s="5">
        <v>46076</v>
      </c>
      <c r="C308" s="4">
        <v>151368492</v>
      </c>
      <c r="D308" s="16" t="s">
        <v>1538</v>
      </c>
    </row>
    <row r="309" spans="1:4" x14ac:dyDescent="0.45">
      <c r="A309" s="2" t="s">
        <v>254</v>
      </c>
      <c r="B309" s="3">
        <v>46076</v>
      </c>
      <c r="C309" s="2">
        <v>151368590</v>
      </c>
      <c r="D309" s="17" t="s">
        <v>1538</v>
      </c>
    </row>
    <row r="310" spans="1:4" x14ac:dyDescent="0.45">
      <c r="A310" s="2" t="s">
        <v>254</v>
      </c>
      <c r="B310" s="3">
        <v>46076</v>
      </c>
      <c r="C310" s="2">
        <v>151368692</v>
      </c>
      <c r="D310" s="17" t="s">
        <v>1538</v>
      </c>
    </row>
    <row r="311" spans="1:4" x14ac:dyDescent="0.45">
      <c r="A311" s="4" t="s">
        <v>254</v>
      </c>
      <c r="B311" s="5">
        <v>46076</v>
      </c>
      <c r="C311" s="4">
        <v>151368785</v>
      </c>
      <c r="D311" s="16" t="s">
        <v>1538</v>
      </c>
    </row>
    <row r="312" spans="1:4" x14ac:dyDescent="0.45">
      <c r="A312" s="2" t="s">
        <v>254</v>
      </c>
      <c r="B312" s="3">
        <v>46111</v>
      </c>
      <c r="C312" s="2">
        <v>151432596</v>
      </c>
      <c r="D312" s="17" t="s">
        <v>1539</v>
      </c>
    </row>
    <row r="313" spans="1:4" x14ac:dyDescent="0.45">
      <c r="A313" s="2" t="s">
        <v>1065</v>
      </c>
      <c r="B313" s="3">
        <v>46111</v>
      </c>
      <c r="C313" s="2">
        <v>151432625</v>
      </c>
      <c r="D313" s="17" t="s">
        <v>1539</v>
      </c>
    </row>
    <row r="314" spans="1:4" x14ac:dyDescent="0.45">
      <c r="A314" s="4" t="s">
        <v>254</v>
      </c>
      <c r="B314" s="5">
        <v>46111</v>
      </c>
      <c r="C314" s="4">
        <v>151432662</v>
      </c>
      <c r="D314" s="16" t="s">
        <v>1539</v>
      </c>
    </row>
    <row r="315" spans="1:4" x14ac:dyDescent="0.45">
      <c r="A315" s="2" t="s">
        <v>254</v>
      </c>
      <c r="B315" s="3">
        <v>46113</v>
      </c>
      <c r="C315" s="2">
        <v>151437027</v>
      </c>
      <c r="D315" s="17" t="s">
        <v>1539</v>
      </c>
    </row>
    <row r="316" spans="1:4" x14ac:dyDescent="0.45">
      <c r="A316" s="4" t="s">
        <v>254</v>
      </c>
      <c r="B316" s="5">
        <v>46113</v>
      </c>
      <c r="C316" s="4">
        <v>151437088</v>
      </c>
      <c r="D316" s="16" t="s">
        <v>1539</v>
      </c>
    </row>
    <row r="317" spans="1:4" x14ac:dyDescent="0.45">
      <c r="A317" s="4" t="s">
        <v>254</v>
      </c>
      <c r="B317" s="5">
        <v>46116</v>
      </c>
      <c r="C317" s="4">
        <v>151440346</v>
      </c>
      <c r="D317" s="16" t="s">
        <v>1539</v>
      </c>
    </row>
    <row r="318" spans="1:4" x14ac:dyDescent="0.45">
      <c r="A318" s="2" t="s">
        <v>254</v>
      </c>
      <c r="B318" s="3">
        <v>46116</v>
      </c>
      <c r="C318" s="2">
        <v>151440354</v>
      </c>
      <c r="D318" s="17" t="s">
        <v>1539</v>
      </c>
    </row>
    <row r="319" spans="1:4" x14ac:dyDescent="0.45">
      <c r="A319" s="4" t="s">
        <v>254</v>
      </c>
      <c r="B319" s="5">
        <v>46116</v>
      </c>
      <c r="C319" s="4">
        <v>151440766</v>
      </c>
      <c r="D319" s="16" t="s">
        <v>1539</v>
      </c>
    </row>
    <row r="320" spans="1:4" x14ac:dyDescent="0.45">
      <c r="A320" s="4" t="s">
        <v>254</v>
      </c>
      <c r="B320" s="5">
        <v>46118</v>
      </c>
      <c r="C320" s="4">
        <v>151443758</v>
      </c>
      <c r="D320" s="16" t="s">
        <v>1539</v>
      </c>
    </row>
    <row r="321" spans="1:4" x14ac:dyDescent="0.45">
      <c r="A321" s="2" t="s">
        <v>254</v>
      </c>
      <c r="B321" s="3">
        <v>46119</v>
      </c>
      <c r="C321" s="2">
        <v>151445934</v>
      </c>
      <c r="D321" s="17" t="s">
        <v>1539</v>
      </c>
    </row>
    <row r="322" spans="1:4" x14ac:dyDescent="0.45">
      <c r="A322" s="2" t="s">
        <v>254</v>
      </c>
      <c r="B322" s="3">
        <v>46076</v>
      </c>
      <c r="C322" s="2">
        <v>151368821</v>
      </c>
      <c r="D322" s="17" t="s">
        <v>1540</v>
      </c>
    </row>
    <row r="323" spans="1:4" x14ac:dyDescent="0.45">
      <c r="A323" s="2" t="s">
        <v>1065</v>
      </c>
      <c r="B323" s="3">
        <v>46076</v>
      </c>
      <c r="C323" s="2">
        <v>151368887</v>
      </c>
      <c r="D323" s="17" t="s">
        <v>1540</v>
      </c>
    </row>
    <row r="324" spans="1:4" x14ac:dyDescent="0.45">
      <c r="A324" s="4" t="s">
        <v>254</v>
      </c>
      <c r="B324" s="5">
        <v>46076</v>
      </c>
      <c r="C324" s="4">
        <v>151368923</v>
      </c>
      <c r="D324" s="16" t="s">
        <v>1540</v>
      </c>
    </row>
    <row r="325" spans="1:4" x14ac:dyDescent="0.45">
      <c r="A325" s="4" t="s">
        <v>254</v>
      </c>
      <c r="B325" s="5">
        <v>46076</v>
      </c>
      <c r="C325" s="4">
        <v>151368948</v>
      </c>
      <c r="D325" s="16" t="s">
        <v>1540</v>
      </c>
    </row>
    <row r="326" spans="1:4" x14ac:dyDescent="0.45">
      <c r="A326" s="4"/>
      <c r="B326" s="5">
        <v>46077</v>
      </c>
      <c r="C326" s="4">
        <v>151370951</v>
      </c>
      <c r="D326" s="16" t="s">
        <v>1540</v>
      </c>
    </row>
    <row r="327" spans="1:4" x14ac:dyDescent="0.45">
      <c r="A327" s="2" t="s">
        <v>254</v>
      </c>
      <c r="B327" s="3">
        <v>46077</v>
      </c>
      <c r="C327" s="2">
        <v>151370994</v>
      </c>
      <c r="D327" s="17" t="s">
        <v>1540</v>
      </c>
    </row>
    <row r="328" spans="1:4" x14ac:dyDescent="0.45">
      <c r="A328" s="4" t="s">
        <v>254</v>
      </c>
      <c r="B328" s="5">
        <v>46077</v>
      </c>
      <c r="C328" s="4">
        <v>151371022</v>
      </c>
      <c r="D328" s="16" t="s">
        <v>1540</v>
      </c>
    </row>
    <row r="329" spans="1:4" x14ac:dyDescent="0.45">
      <c r="A329" s="2" t="s">
        <v>254</v>
      </c>
      <c r="B329" s="3">
        <v>46078</v>
      </c>
      <c r="C329" s="2">
        <v>151373250</v>
      </c>
      <c r="D329" s="17" t="s">
        <v>1540</v>
      </c>
    </row>
    <row r="330" spans="1:4" x14ac:dyDescent="0.45">
      <c r="A330" s="2" t="s">
        <v>254</v>
      </c>
      <c r="B330" s="3">
        <v>46078</v>
      </c>
      <c r="C330" s="2">
        <v>151373277</v>
      </c>
      <c r="D330" s="17" t="s">
        <v>1541</v>
      </c>
    </row>
    <row r="331" spans="1:4" x14ac:dyDescent="0.45">
      <c r="A331" s="2" t="s">
        <v>254</v>
      </c>
      <c r="B331" s="3">
        <v>46078</v>
      </c>
      <c r="C331" s="2">
        <v>151373288</v>
      </c>
      <c r="D331" s="17" t="s">
        <v>1541</v>
      </c>
    </row>
    <row r="332" spans="1:4" x14ac:dyDescent="0.45">
      <c r="A332" s="2"/>
      <c r="B332" s="3">
        <v>46078</v>
      </c>
      <c r="C332" s="2">
        <v>151373313</v>
      </c>
      <c r="D332" s="17" t="s">
        <v>1541</v>
      </c>
    </row>
    <row r="333" spans="1:4" x14ac:dyDescent="0.45">
      <c r="A333" s="4" t="s">
        <v>254</v>
      </c>
      <c r="B333" s="5">
        <v>46078</v>
      </c>
      <c r="C333" s="4">
        <v>151373324</v>
      </c>
      <c r="D333" s="16" t="s">
        <v>1541</v>
      </c>
    </row>
    <row r="334" spans="1:4" x14ac:dyDescent="0.45">
      <c r="A334" s="2" t="s">
        <v>254</v>
      </c>
      <c r="B334" s="3">
        <v>46081</v>
      </c>
      <c r="C334" s="2">
        <v>151379081</v>
      </c>
      <c r="D334" s="17" t="s">
        <v>1541</v>
      </c>
    </row>
    <row r="335" spans="1:4" x14ac:dyDescent="0.45">
      <c r="A335" t="s">
        <v>254</v>
      </c>
      <c r="B335" s="14">
        <v>46081</v>
      </c>
      <c r="C335" s="2">
        <v>151379104</v>
      </c>
      <c r="D335" s="18" t="s">
        <v>1541</v>
      </c>
    </row>
    <row r="336" spans="1:4" x14ac:dyDescent="0.45">
      <c r="A336" s="12" t="s">
        <v>254</v>
      </c>
      <c r="B336" s="13">
        <v>46081</v>
      </c>
      <c r="C336" s="4">
        <v>151379116</v>
      </c>
      <c r="D336" s="19" t="s">
        <v>1541</v>
      </c>
    </row>
    <row r="337" spans="1:4" x14ac:dyDescent="0.45">
      <c r="A337" s="12" t="s">
        <v>254</v>
      </c>
      <c r="B337" s="13">
        <v>46081</v>
      </c>
      <c r="C337" s="4">
        <v>151379133</v>
      </c>
      <c r="D337" s="19" t="s">
        <v>1541</v>
      </c>
    </row>
    <row r="338" spans="1:4" x14ac:dyDescent="0.45">
      <c r="A338" t="s">
        <v>254</v>
      </c>
      <c r="B338" s="14">
        <v>46083</v>
      </c>
      <c r="C338" s="2">
        <v>151382237</v>
      </c>
      <c r="D338" s="18" t="s">
        <v>1541</v>
      </c>
    </row>
    <row r="339" spans="1:4" x14ac:dyDescent="0.45">
      <c r="A339" s="12" t="s">
        <v>254</v>
      </c>
      <c r="B339" s="13">
        <v>46084</v>
      </c>
      <c r="C339" s="4">
        <v>151383106</v>
      </c>
      <c r="D339" s="19" t="s">
        <v>1541</v>
      </c>
    </row>
    <row r="340" spans="1:4" x14ac:dyDescent="0.45">
      <c r="A340" t="s">
        <v>254</v>
      </c>
      <c r="B340" s="14">
        <v>46084</v>
      </c>
      <c r="C340" s="2">
        <v>151383206</v>
      </c>
      <c r="D340" s="18" t="s">
        <v>1541</v>
      </c>
    </row>
    <row r="341" spans="1:4" x14ac:dyDescent="0.45">
      <c r="A341" t="s">
        <v>254</v>
      </c>
      <c r="B341" s="14">
        <v>46087</v>
      </c>
      <c r="C341" s="2">
        <v>151390991</v>
      </c>
      <c r="D341" s="18" t="s">
        <v>1541</v>
      </c>
    </row>
    <row r="342" spans="1:4" x14ac:dyDescent="0.45">
      <c r="A342" s="12" t="s">
        <v>254</v>
      </c>
      <c r="B342" s="13">
        <v>46087</v>
      </c>
      <c r="C342" s="4">
        <v>151391024</v>
      </c>
      <c r="D342" s="19" t="s">
        <v>1541</v>
      </c>
    </row>
    <row r="343" spans="1:4" x14ac:dyDescent="0.45">
      <c r="A343" t="s">
        <v>254</v>
      </c>
      <c r="B343" s="14">
        <v>46090</v>
      </c>
      <c r="C343" s="2">
        <v>151393793</v>
      </c>
      <c r="D343" s="18" t="s">
        <v>1541</v>
      </c>
    </row>
    <row r="344" spans="1:4" x14ac:dyDescent="0.45">
      <c r="A344" s="12" t="s">
        <v>254</v>
      </c>
      <c r="B344" s="13">
        <v>46091</v>
      </c>
      <c r="C344" s="4">
        <v>151396712</v>
      </c>
      <c r="D344" s="19" t="s">
        <v>1541</v>
      </c>
    </row>
    <row r="345" spans="1:4" x14ac:dyDescent="0.45">
      <c r="A345" s="12" t="s">
        <v>254</v>
      </c>
      <c r="B345" s="13">
        <v>46091</v>
      </c>
      <c r="C345" s="4">
        <v>151396770</v>
      </c>
      <c r="D345" s="19" t="s">
        <v>1541</v>
      </c>
    </row>
    <row r="346" spans="1:4" x14ac:dyDescent="0.45">
      <c r="A346" t="s">
        <v>254</v>
      </c>
      <c r="B346" s="14">
        <v>46092</v>
      </c>
      <c r="C346" s="2">
        <v>151399096</v>
      </c>
      <c r="D346" s="18" t="s">
        <v>1541</v>
      </c>
    </row>
    <row r="347" spans="1:4" x14ac:dyDescent="0.45">
      <c r="A347" t="s">
        <v>254</v>
      </c>
      <c r="B347" s="14">
        <v>46024</v>
      </c>
      <c r="C347" s="2">
        <v>151273140</v>
      </c>
      <c r="D347" s="18" t="s">
        <v>1542</v>
      </c>
    </row>
    <row r="348" spans="1:4" x14ac:dyDescent="0.45">
      <c r="A348" s="12" t="s">
        <v>1065</v>
      </c>
      <c r="B348" s="13">
        <v>46078</v>
      </c>
      <c r="C348" s="4">
        <v>151373363</v>
      </c>
      <c r="D348" s="19" t="s">
        <v>1542</v>
      </c>
    </row>
    <row r="349" spans="1:4" x14ac:dyDescent="0.45">
      <c r="A349" s="12" t="s">
        <v>254</v>
      </c>
      <c r="B349" s="13">
        <v>46078</v>
      </c>
      <c r="C349" s="4">
        <v>151373389</v>
      </c>
      <c r="D349" s="19" t="s">
        <v>1543</v>
      </c>
    </row>
    <row r="350" spans="1:4" x14ac:dyDescent="0.45">
      <c r="A350" s="12" t="s">
        <v>1065</v>
      </c>
      <c r="B350" s="13">
        <v>46078</v>
      </c>
      <c r="C350" s="4">
        <v>151373401</v>
      </c>
      <c r="D350" s="19" t="s">
        <v>1544</v>
      </c>
    </row>
    <row r="351" spans="1:4" x14ac:dyDescent="0.45">
      <c r="A351" t="s">
        <v>254</v>
      </c>
      <c r="B351" s="14">
        <v>46078</v>
      </c>
      <c r="C351" s="2">
        <v>151373417</v>
      </c>
      <c r="D351" s="18" t="s">
        <v>1544</v>
      </c>
    </row>
    <row r="352" spans="1:4" x14ac:dyDescent="0.45">
      <c r="A352" t="s">
        <v>1065</v>
      </c>
      <c r="B352" s="14">
        <v>46078</v>
      </c>
      <c r="C352" s="2">
        <v>151373435</v>
      </c>
      <c r="D352" s="18" t="s">
        <v>1544</v>
      </c>
    </row>
    <row r="353" spans="1:4" x14ac:dyDescent="0.45">
      <c r="A353" s="12" t="s">
        <v>254</v>
      </c>
      <c r="B353" s="13">
        <v>46078</v>
      </c>
      <c r="C353" s="4">
        <v>151373474</v>
      </c>
      <c r="D353" s="19" t="s">
        <v>1544</v>
      </c>
    </row>
    <row r="354" spans="1:4" x14ac:dyDescent="0.45">
      <c r="A354" s="12" t="s">
        <v>254</v>
      </c>
      <c r="B354" s="13">
        <v>46079</v>
      </c>
      <c r="C354" s="4">
        <v>151375445</v>
      </c>
      <c r="D354" s="19" t="s">
        <v>1544</v>
      </c>
    </row>
    <row r="355" spans="1:4" x14ac:dyDescent="0.45">
      <c r="A355" t="s">
        <v>254</v>
      </c>
      <c r="B355" s="14">
        <v>46079</v>
      </c>
      <c r="C355" s="2">
        <v>151375541</v>
      </c>
      <c r="D355" s="18" t="s">
        <v>1544</v>
      </c>
    </row>
    <row r="356" spans="1:4" x14ac:dyDescent="0.45">
      <c r="A356" t="s">
        <v>254</v>
      </c>
      <c r="B356" s="14">
        <v>46086</v>
      </c>
      <c r="C356" s="2">
        <v>151388741</v>
      </c>
      <c r="D356" s="18" t="s">
        <v>1544</v>
      </c>
    </row>
    <row r="357" spans="1:4" x14ac:dyDescent="0.45">
      <c r="A357" t="s">
        <v>254</v>
      </c>
      <c r="B357" s="14">
        <v>46091</v>
      </c>
      <c r="C357" s="2">
        <v>151396668</v>
      </c>
      <c r="D357" s="18" t="s">
        <v>1544</v>
      </c>
    </row>
    <row r="358" spans="1:4" x14ac:dyDescent="0.45">
      <c r="A358" s="12" t="s">
        <v>254</v>
      </c>
      <c r="B358" s="13">
        <v>46092</v>
      </c>
      <c r="C358" s="4">
        <v>151399011</v>
      </c>
      <c r="D358" s="19" t="s">
        <v>1544</v>
      </c>
    </row>
    <row r="359" spans="1:4" x14ac:dyDescent="0.45">
      <c r="A359" s="12" t="s">
        <v>254</v>
      </c>
      <c r="B359" s="13">
        <v>46093</v>
      </c>
      <c r="C359" s="4">
        <v>151401517</v>
      </c>
      <c r="D359" s="19" t="s">
        <v>1544</v>
      </c>
    </row>
    <row r="360" spans="1:4" x14ac:dyDescent="0.45">
      <c r="A360" s="12" t="s">
        <v>254</v>
      </c>
      <c r="B360" s="13">
        <v>46078</v>
      </c>
      <c r="C360" s="4">
        <v>151373507</v>
      </c>
      <c r="D360" s="19" t="s">
        <v>1545</v>
      </c>
    </row>
    <row r="361" spans="1:4" x14ac:dyDescent="0.45">
      <c r="A361" s="12" t="s">
        <v>254</v>
      </c>
      <c r="B361" s="13">
        <v>46024</v>
      </c>
      <c r="C361" s="4">
        <v>151272743</v>
      </c>
      <c r="D361" s="19"/>
    </row>
    <row r="362" spans="1:4" x14ac:dyDescent="0.45">
      <c r="A362" t="s">
        <v>254</v>
      </c>
      <c r="B362" s="14">
        <v>46024</v>
      </c>
      <c r="C362" s="2">
        <v>151272932</v>
      </c>
    </row>
    <row r="363" spans="1:4" x14ac:dyDescent="0.45">
      <c r="A363" t="s">
        <v>254</v>
      </c>
      <c r="B363" s="14">
        <v>46024</v>
      </c>
      <c r="C363" s="2">
        <v>151273163</v>
      </c>
    </row>
    <row r="364" spans="1:4" x14ac:dyDescent="0.45">
      <c r="B364" s="14">
        <v>46024</v>
      </c>
      <c r="C364" s="2">
        <v>151273169</v>
      </c>
    </row>
    <row r="365" spans="1:4" x14ac:dyDescent="0.45">
      <c r="A365" s="12"/>
      <c r="B365" s="13">
        <v>46024</v>
      </c>
      <c r="C365" s="4">
        <v>151273186</v>
      </c>
      <c r="D365" s="19"/>
    </row>
    <row r="366" spans="1:4" x14ac:dyDescent="0.45">
      <c r="A366" t="s">
        <v>1065</v>
      </c>
      <c r="B366" s="14">
        <v>46024</v>
      </c>
      <c r="C366" s="2">
        <v>151273210</v>
      </c>
    </row>
    <row r="367" spans="1:4" x14ac:dyDescent="0.45">
      <c r="A367" s="12"/>
      <c r="B367" s="13">
        <v>46024</v>
      </c>
      <c r="C367" s="4">
        <v>151273360</v>
      </c>
      <c r="D367" s="19"/>
    </row>
    <row r="368" spans="1:4" x14ac:dyDescent="0.45">
      <c r="B368" s="14">
        <v>46024</v>
      </c>
      <c r="C368" s="2">
        <v>151273388</v>
      </c>
    </row>
    <row r="369" spans="1:4" x14ac:dyDescent="0.45">
      <c r="A369" s="12"/>
      <c r="B369" s="13">
        <v>46024</v>
      </c>
      <c r="C369" s="4">
        <v>151273424</v>
      </c>
      <c r="D369" s="19"/>
    </row>
    <row r="370" spans="1:4" x14ac:dyDescent="0.45">
      <c r="B370" s="14">
        <v>46024</v>
      </c>
      <c r="C370" s="2">
        <v>151273531</v>
      </c>
    </row>
    <row r="371" spans="1:4" x14ac:dyDescent="0.45">
      <c r="B371" s="14">
        <v>46024</v>
      </c>
      <c r="C371" s="2">
        <v>151273561</v>
      </c>
    </row>
    <row r="372" spans="1:4" x14ac:dyDescent="0.45">
      <c r="A372" s="12" t="s">
        <v>254</v>
      </c>
      <c r="B372" s="13">
        <v>46024</v>
      </c>
      <c r="C372" s="4">
        <v>151273590</v>
      </c>
      <c r="D372" s="19"/>
    </row>
    <row r="373" spans="1:4" x14ac:dyDescent="0.45">
      <c r="A373" s="12"/>
      <c r="B373" s="13">
        <v>46024</v>
      </c>
      <c r="C373" s="4">
        <v>151273616</v>
      </c>
      <c r="D373" s="19"/>
    </row>
    <row r="374" spans="1:4" x14ac:dyDescent="0.45">
      <c r="A374" s="12" t="s">
        <v>1065</v>
      </c>
      <c r="B374" s="13">
        <v>46024</v>
      </c>
      <c r="C374" s="4">
        <v>151273695</v>
      </c>
      <c r="D374" s="19"/>
    </row>
    <row r="375" spans="1:4" x14ac:dyDescent="0.45">
      <c r="A375" s="12" t="s">
        <v>254</v>
      </c>
      <c r="B375" s="13">
        <v>46025</v>
      </c>
      <c r="C375" s="4">
        <v>151274645</v>
      </c>
      <c r="D375" s="19"/>
    </row>
    <row r="376" spans="1:4" x14ac:dyDescent="0.45">
      <c r="A376" s="12" t="s">
        <v>254</v>
      </c>
      <c r="B376" s="13">
        <v>46027</v>
      </c>
      <c r="C376" s="4">
        <v>151276282</v>
      </c>
      <c r="D376" s="19"/>
    </row>
    <row r="377" spans="1:4" x14ac:dyDescent="0.45">
      <c r="A377" t="s">
        <v>254</v>
      </c>
      <c r="B377" s="14">
        <v>46027</v>
      </c>
      <c r="C377" s="2">
        <v>151277736</v>
      </c>
    </row>
    <row r="378" spans="1:4" x14ac:dyDescent="0.45">
      <c r="A378" t="s">
        <v>254</v>
      </c>
      <c r="B378" s="14">
        <v>46027</v>
      </c>
      <c r="C378" s="2">
        <v>151277757</v>
      </c>
    </row>
    <row r="379" spans="1:4" x14ac:dyDescent="0.45">
      <c r="A379" t="s">
        <v>254</v>
      </c>
      <c r="B379" s="14">
        <v>46028</v>
      </c>
      <c r="C379" s="2">
        <v>151278693</v>
      </c>
    </row>
    <row r="380" spans="1:4" x14ac:dyDescent="0.45">
      <c r="B380" s="14">
        <v>46028</v>
      </c>
      <c r="C380" s="2">
        <v>151278840</v>
      </c>
    </row>
    <row r="381" spans="1:4" x14ac:dyDescent="0.45">
      <c r="A381" s="12" t="s">
        <v>254</v>
      </c>
      <c r="B381" s="13">
        <v>46028</v>
      </c>
      <c r="C381" s="4">
        <v>151279087</v>
      </c>
      <c r="D381" s="19"/>
    </row>
    <row r="382" spans="1:4" x14ac:dyDescent="0.45">
      <c r="A382" s="12"/>
      <c r="B382" s="13">
        <v>46028</v>
      </c>
      <c r="C382" s="4">
        <v>151279326</v>
      </c>
      <c r="D382" s="19"/>
    </row>
    <row r="383" spans="1:4" x14ac:dyDescent="0.45">
      <c r="A383" t="s">
        <v>254</v>
      </c>
      <c r="B383" s="14">
        <v>46028</v>
      </c>
      <c r="C383" s="2">
        <v>151279414</v>
      </c>
    </row>
    <row r="384" spans="1:4" x14ac:dyDescent="0.45">
      <c r="A384" s="12" t="s">
        <v>254</v>
      </c>
      <c r="B384" s="13">
        <v>46028</v>
      </c>
      <c r="C384" s="4">
        <v>151279447</v>
      </c>
      <c r="D384" s="19"/>
    </row>
    <row r="385" spans="1:4" x14ac:dyDescent="0.45">
      <c r="A385" t="s">
        <v>1065</v>
      </c>
      <c r="B385" s="14">
        <v>46028</v>
      </c>
      <c r="C385" s="2">
        <v>151279633</v>
      </c>
    </row>
    <row r="386" spans="1:4" x14ac:dyDescent="0.45">
      <c r="A386" s="12" t="s">
        <v>1065</v>
      </c>
      <c r="B386" s="13">
        <v>46028</v>
      </c>
      <c r="C386" s="4">
        <v>151279638</v>
      </c>
      <c r="D386" s="19"/>
    </row>
    <row r="387" spans="1:4" x14ac:dyDescent="0.45">
      <c r="A387" s="12" t="s">
        <v>254</v>
      </c>
      <c r="B387" s="13">
        <v>46029</v>
      </c>
      <c r="C387" s="4">
        <v>151280950</v>
      </c>
      <c r="D387" s="19"/>
    </row>
    <row r="388" spans="1:4" x14ac:dyDescent="0.45">
      <c r="A388" t="s">
        <v>254</v>
      </c>
      <c r="B388" s="14">
        <v>46029</v>
      </c>
      <c r="C388" s="2">
        <v>151281134</v>
      </c>
    </row>
    <row r="389" spans="1:4" x14ac:dyDescent="0.45">
      <c r="A389" s="12" t="s">
        <v>254</v>
      </c>
      <c r="B389" s="13">
        <v>46029</v>
      </c>
      <c r="C389" s="4">
        <v>151281521</v>
      </c>
      <c r="D389" s="19"/>
    </row>
    <row r="390" spans="1:4" x14ac:dyDescent="0.45">
      <c r="A390" t="s">
        <v>254</v>
      </c>
      <c r="B390" s="14">
        <v>46029</v>
      </c>
      <c r="C390" s="2">
        <v>151281559</v>
      </c>
    </row>
    <row r="391" spans="1:4" x14ac:dyDescent="0.45">
      <c r="A391" s="12" t="s">
        <v>254</v>
      </c>
      <c r="B391" s="13">
        <v>46029</v>
      </c>
      <c r="C391" s="4">
        <v>151281785</v>
      </c>
      <c r="D391" s="19"/>
    </row>
    <row r="392" spans="1:4" x14ac:dyDescent="0.45">
      <c r="A392" t="s">
        <v>254</v>
      </c>
      <c r="B392" s="14">
        <v>46029</v>
      </c>
      <c r="C392" s="2">
        <v>151281955</v>
      </c>
    </row>
    <row r="393" spans="1:4" x14ac:dyDescent="0.45">
      <c r="A393" t="s">
        <v>254</v>
      </c>
      <c r="B393" s="14">
        <v>46030</v>
      </c>
      <c r="C393" s="2">
        <v>151284161</v>
      </c>
    </row>
    <row r="394" spans="1:4" x14ac:dyDescent="0.45">
      <c r="A394" s="12" t="s">
        <v>254</v>
      </c>
      <c r="B394" s="13">
        <v>46030</v>
      </c>
      <c r="C394" s="4">
        <v>151284228</v>
      </c>
      <c r="D394" s="19"/>
    </row>
    <row r="395" spans="1:4" x14ac:dyDescent="0.45">
      <c r="A395" t="s">
        <v>1065</v>
      </c>
      <c r="B395" s="14">
        <v>46030</v>
      </c>
      <c r="C395" s="2">
        <v>151284457</v>
      </c>
    </row>
    <row r="396" spans="1:4" x14ac:dyDescent="0.45">
      <c r="A396" t="s">
        <v>254</v>
      </c>
      <c r="B396" s="14">
        <v>46030</v>
      </c>
      <c r="C396" s="2">
        <v>151284580</v>
      </c>
    </row>
    <row r="397" spans="1:4" x14ac:dyDescent="0.45">
      <c r="A397" s="12" t="s">
        <v>254</v>
      </c>
      <c r="B397" s="13">
        <v>46030</v>
      </c>
      <c r="C397" s="4">
        <v>151284623</v>
      </c>
      <c r="D397" s="19"/>
    </row>
    <row r="398" spans="1:4" x14ac:dyDescent="0.45">
      <c r="A398" s="12"/>
      <c r="B398" s="13">
        <v>46030</v>
      </c>
      <c r="C398" s="4">
        <v>151284649</v>
      </c>
      <c r="D398" s="19"/>
    </row>
    <row r="399" spans="1:4" x14ac:dyDescent="0.45">
      <c r="A399" t="s">
        <v>254</v>
      </c>
      <c r="B399" s="14">
        <v>46031</v>
      </c>
      <c r="C399" s="2">
        <v>151286333</v>
      </c>
    </row>
    <row r="400" spans="1:4" x14ac:dyDescent="0.45">
      <c r="A400" s="12" t="s">
        <v>1065</v>
      </c>
      <c r="B400" s="13">
        <v>46031</v>
      </c>
      <c r="C400" s="4">
        <v>151286430</v>
      </c>
      <c r="D400" s="19"/>
    </row>
    <row r="401" spans="1:4" x14ac:dyDescent="0.45">
      <c r="A401" s="12" t="s">
        <v>254</v>
      </c>
      <c r="B401" s="13">
        <v>46031</v>
      </c>
      <c r="C401" s="4">
        <v>151286563</v>
      </c>
      <c r="D401" s="19"/>
    </row>
    <row r="402" spans="1:4" x14ac:dyDescent="0.45">
      <c r="A402" s="12" t="s">
        <v>254</v>
      </c>
      <c r="B402" s="13">
        <v>46031</v>
      </c>
      <c r="C402" s="4">
        <v>151286591</v>
      </c>
      <c r="D402" s="19"/>
    </row>
    <row r="403" spans="1:4" x14ac:dyDescent="0.45">
      <c r="A403" t="s">
        <v>1065</v>
      </c>
      <c r="B403" s="14">
        <v>46031</v>
      </c>
      <c r="C403" s="2">
        <v>151286732</v>
      </c>
    </row>
    <row r="404" spans="1:4" x14ac:dyDescent="0.45">
      <c r="A404" s="12" t="s">
        <v>1065</v>
      </c>
      <c r="B404" s="13">
        <v>46031</v>
      </c>
      <c r="C404" s="4">
        <v>151286762</v>
      </c>
      <c r="D404" s="19"/>
    </row>
    <row r="405" spans="1:4" x14ac:dyDescent="0.45">
      <c r="A405" s="12" t="s">
        <v>254</v>
      </c>
      <c r="B405" s="13">
        <v>46032</v>
      </c>
      <c r="C405" s="4">
        <v>151288035</v>
      </c>
      <c r="D405" s="19"/>
    </row>
    <row r="406" spans="1:4" x14ac:dyDescent="0.45">
      <c r="A406" t="s">
        <v>1065</v>
      </c>
      <c r="B406" s="14">
        <v>46032</v>
      </c>
      <c r="C406" s="2">
        <v>151288057</v>
      </c>
    </row>
    <row r="407" spans="1:4" x14ac:dyDescent="0.45">
      <c r="A407" s="12" t="s">
        <v>1065</v>
      </c>
      <c r="B407" s="13">
        <v>46032</v>
      </c>
      <c r="C407" s="4">
        <v>151288061</v>
      </c>
      <c r="D407" s="19"/>
    </row>
    <row r="408" spans="1:4" x14ac:dyDescent="0.45">
      <c r="A408" s="12" t="s">
        <v>1065</v>
      </c>
      <c r="B408" s="13">
        <v>46032</v>
      </c>
      <c r="C408" s="4">
        <v>151288088</v>
      </c>
      <c r="D408" s="19"/>
    </row>
    <row r="409" spans="1:4" x14ac:dyDescent="0.45">
      <c r="A409" t="s">
        <v>254</v>
      </c>
      <c r="B409" s="14">
        <v>46032</v>
      </c>
      <c r="C409" s="2">
        <v>151288120</v>
      </c>
    </row>
    <row r="410" spans="1:4" x14ac:dyDescent="0.45">
      <c r="A410" t="s">
        <v>1065</v>
      </c>
      <c r="B410" s="14">
        <v>46032</v>
      </c>
      <c r="C410" s="2">
        <v>151288171</v>
      </c>
    </row>
    <row r="411" spans="1:4" x14ac:dyDescent="0.45">
      <c r="A411" s="12" t="s">
        <v>1065</v>
      </c>
      <c r="B411" s="13">
        <v>46032</v>
      </c>
      <c r="C411" s="4">
        <v>151288175</v>
      </c>
      <c r="D411" s="19"/>
    </row>
    <row r="412" spans="1:4" x14ac:dyDescent="0.45">
      <c r="A412" t="s">
        <v>1065</v>
      </c>
      <c r="B412" s="14">
        <v>46032</v>
      </c>
      <c r="C412" s="2">
        <v>151288235</v>
      </c>
    </row>
    <row r="413" spans="1:4" x14ac:dyDescent="0.45">
      <c r="A413" s="12" t="s">
        <v>254</v>
      </c>
      <c r="B413" s="13">
        <v>46032</v>
      </c>
      <c r="C413" s="4">
        <v>151288448</v>
      </c>
      <c r="D413" s="19"/>
    </row>
    <row r="414" spans="1:4" x14ac:dyDescent="0.45">
      <c r="A414" t="s">
        <v>254</v>
      </c>
      <c r="B414" s="14">
        <v>46032</v>
      </c>
      <c r="C414" s="2">
        <v>151288488</v>
      </c>
    </row>
    <row r="415" spans="1:4" x14ac:dyDescent="0.45">
      <c r="A415" t="s">
        <v>254</v>
      </c>
      <c r="B415" s="14">
        <v>46035</v>
      </c>
      <c r="C415" s="2">
        <v>151292351</v>
      </c>
    </row>
    <row r="416" spans="1:4" x14ac:dyDescent="0.45">
      <c r="A416" t="s">
        <v>254</v>
      </c>
      <c r="B416" s="14">
        <v>46035</v>
      </c>
      <c r="C416" s="2">
        <v>151292731</v>
      </c>
    </row>
    <row r="417" spans="1:4" x14ac:dyDescent="0.45">
      <c r="A417" s="12" t="s">
        <v>254</v>
      </c>
      <c r="B417" s="13">
        <v>46035</v>
      </c>
      <c r="C417" s="4">
        <v>151293064</v>
      </c>
      <c r="D417" s="19"/>
    </row>
    <row r="418" spans="1:4" x14ac:dyDescent="0.45">
      <c r="A418" t="s">
        <v>254</v>
      </c>
      <c r="B418" s="14">
        <v>46035</v>
      </c>
      <c r="C418" s="2">
        <v>151293374</v>
      </c>
    </row>
    <row r="419" spans="1:4" x14ac:dyDescent="0.45">
      <c r="A419" t="s">
        <v>254</v>
      </c>
      <c r="B419" s="14">
        <v>46035</v>
      </c>
      <c r="C419" s="2">
        <v>151293410</v>
      </c>
    </row>
    <row r="420" spans="1:4" x14ac:dyDescent="0.45">
      <c r="A420" s="12" t="s">
        <v>254</v>
      </c>
      <c r="B420" s="13">
        <v>46035</v>
      </c>
      <c r="C420" s="4">
        <v>151293463</v>
      </c>
      <c r="D420" s="19"/>
    </row>
    <row r="421" spans="1:4" x14ac:dyDescent="0.45">
      <c r="A421" s="12" t="s">
        <v>254</v>
      </c>
      <c r="B421" s="13">
        <v>46035</v>
      </c>
      <c r="C421" s="4">
        <v>151293510</v>
      </c>
      <c r="D421" s="19"/>
    </row>
    <row r="422" spans="1:4" x14ac:dyDescent="0.45">
      <c r="A422" t="s">
        <v>1065</v>
      </c>
      <c r="B422" s="14">
        <v>46035</v>
      </c>
      <c r="C422" s="2">
        <v>151293771</v>
      </c>
    </row>
    <row r="423" spans="1:4" x14ac:dyDescent="0.45">
      <c r="A423" s="12" t="s">
        <v>254</v>
      </c>
      <c r="B423" s="13">
        <v>46035</v>
      </c>
      <c r="C423" s="4">
        <v>151293816</v>
      </c>
      <c r="D423" s="19"/>
    </row>
    <row r="424" spans="1:4" x14ac:dyDescent="0.45">
      <c r="A424" s="12" t="s">
        <v>254</v>
      </c>
      <c r="B424" s="13">
        <v>46035</v>
      </c>
      <c r="C424" s="4">
        <v>151293857</v>
      </c>
      <c r="D424" s="19"/>
    </row>
    <row r="425" spans="1:4" x14ac:dyDescent="0.45">
      <c r="A425" t="s">
        <v>254</v>
      </c>
      <c r="B425" s="14">
        <v>46035</v>
      </c>
      <c r="C425" s="2">
        <v>151293880</v>
      </c>
    </row>
    <row r="426" spans="1:4" x14ac:dyDescent="0.45">
      <c r="A426" s="12" t="s">
        <v>1065</v>
      </c>
      <c r="B426" s="13">
        <v>46035</v>
      </c>
      <c r="C426" s="4">
        <v>151293966</v>
      </c>
      <c r="D426" s="19"/>
    </row>
    <row r="427" spans="1:4" x14ac:dyDescent="0.45">
      <c r="A427" s="12" t="s">
        <v>254</v>
      </c>
      <c r="B427" s="13">
        <v>46036</v>
      </c>
      <c r="C427" s="4">
        <v>151295811</v>
      </c>
      <c r="D427" s="19"/>
    </row>
    <row r="428" spans="1:4" x14ac:dyDescent="0.45">
      <c r="A428" t="s">
        <v>254</v>
      </c>
      <c r="B428" s="14">
        <v>46036</v>
      </c>
      <c r="C428" s="2">
        <v>151295869</v>
      </c>
    </row>
    <row r="429" spans="1:4" x14ac:dyDescent="0.45">
      <c r="A429" t="s">
        <v>254</v>
      </c>
      <c r="B429" s="14">
        <v>46036</v>
      </c>
      <c r="C429" s="2">
        <v>151295883</v>
      </c>
    </row>
    <row r="430" spans="1:4" x14ac:dyDescent="0.45">
      <c r="A430" t="s">
        <v>254</v>
      </c>
      <c r="B430" s="14">
        <v>46036</v>
      </c>
      <c r="C430" s="2">
        <v>151295935</v>
      </c>
    </row>
    <row r="431" spans="1:4" x14ac:dyDescent="0.45">
      <c r="A431" s="12" t="s">
        <v>254</v>
      </c>
      <c r="B431" s="13">
        <v>46036</v>
      </c>
      <c r="C431" s="4">
        <v>151295939</v>
      </c>
      <c r="D431" s="19"/>
    </row>
    <row r="432" spans="1:4" x14ac:dyDescent="0.45">
      <c r="A432" s="12" t="s">
        <v>254</v>
      </c>
      <c r="B432" s="13">
        <v>46036</v>
      </c>
      <c r="C432" s="4">
        <v>151295966</v>
      </c>
      <c r="D432" s="19"/>
    </row>
    <row r="433" spans="1:4" x14ac:dyDescent="0.45">
      <c r="A433" t="s">
        <v>254</v>
      </c>
      <c r="B433" s="14">
        <v>46036</v>
      </c>
      <c r="C433" s="2">
        <v>151295995</v>
      </c>
    </row>
    <row r="434" spans="1:4" x14ac:dyDescent="0.45">
      <c r="A434" s="12" t="s">
        <v>254</v>
      </c>
      <c r="B434" s="13">
        <v>46036</v>
      </c>
      <c r="C434" s="4">
        <v>151296437</v>
      </c>
      <c r="D434" s="19"/>
    </row>
    <row r="435" spans="1:4" x14ac:dyDescent="0.45">
      <c r="A435" t="s">
        <v>1065</v>
      </c>
      <c r="B435" s="14">
        <v>46045</v>
      </c>
      <c r="C435" s="2">
        <v>151313331</v>
      </c>
    </row>
    <row r="436" spans="1:4" x14ac:dyDescent="0.45">
      <c r="A436" s="12" t="s">
        <v>254</v>
      </c>
      <c r="B436" s="13">
        <v>46045</v>
      </c>
      <c r="C436" s="4">
        <v>151313350</v>
      </c>
      <c r="D436" s="19"/>
    </row>
    <row r="437" spans="1:4" x14ac:dyDescent="0.45">
      <c r="A437" s="12" t="s">
        <v>1065</v>
      </c>
      <c r="B437" s="13">
        <v>46046</v>
      </c>
      <c r="C437" s="4">
        <v>151314582</v>
      </c>
      <c r="D437" s="19"/>
    </row>
    <row r="438" spans="1:4" x14ac:dyDescent="0.45">
      <c r="A438" t="s">
        <v>254</v>
      </c>
      <c r="B438" s="14">
        <v>46046</v>
      </c>
      <c r="C438" s="2">
        <v>151314606</v>
      </c>
    </row>
    <row r="439" spans="1:4" x14ac:dyDescent="0.45">
      <c r="A439" s="12" t="s">
        <v>254</v>
      </c>
      <c r="B439" s="13">
        <v>46046</v>
      </c>
      <c r="C439" s="4">
        <v>151314622</v>
      </c>
      <c r="D439" s="19"/>
    </row>
    <row r="440" spans="1:4" x14ac:dyDescent="0.45">
      <c r="A440" s="12"/>
      <c r="B440" s="13">
        <v>46048</v>
      </c>
      <c r="C440" s="4">
        <v>151316061</v>
      </c>
      <c r="D440" s="19"/>
    </row>
    <row r="441" spans="1:4" x14ac:dyDescent="0.45">
      <c r="A441" t="s">
        <v>254</v>
      </c>
      <c r="B441" s="14">
        <v>46079</v>
      </c>
      <c r="C441" s="2">
        <v>151373967</v>
      </c>
    </row>
    <row r="442" spans="1:4" x14ac:dyDescent="0.45">
      <c r="A442" t="s">
        <v>1065</v>
      </c>
      <c r="B442" s="14">
        <v>46079</v>
      </c>
      <c r="C442" s="2">
        <v>151375605</v>
      </c>
    </row>
    <row r="443" spans="1:4" x14ac:dyDescent="0.45">
      <c r="A443" s="12" t="s">
        <v>254</v>
      </c>
      <c r="B443" s="13">
        <v>46079</v>
      </c>
      <c r="C443" s="4">
        <v>151375639</v>
      </c>
      <c r="D443" s="19"/>
    </row>
    <row r="444" spans="1:4" x14ac:dyDescent="0.45">
      <c r="A444" s="12" t="s">
        <v>1065</v>
      </c>
      <c r="B444" s="13">
        <v>46079</v>
      </c>
      <c r="C444" s="4">
        <v>151375674</v>
      </c>
      <c r="D444" s="19"/>
    </row>
    <row r="445" spans="1:4" x14ac:dyDescent="0.45">
      <c r="A445" t="s">
        <v>254</v>
      </c>
      <c r="B445" s="14">
        <v>46080</v>
      </c>
      <c r="C445" s="2">
        <v>151377634</v>
      </c>
    </row>
    <row r="446" spans="1:4" x14ac:dyDescent="0.45">
      <c r="A446" s="12"/>
      <c r="B446" s="13">
        <v>46083</v>
      </c>
      <c r="C446" s="4">
        <v>151380411</v>
      </c>
      <c r="D446" s="19"/>
    </row>
    <row r="447" spans="1:4" x14ac:dyDescent="0.45">
      <c r="B447" s="14">
        <v>46083</v>
      </c>
      <c r="C447" s="2">
        <v>151382160</v>
      </c>
    </row>
    <row r="448" spans="1:4" x14ac:dyDescent="0.45">
      <c r="A448" t="s">
        <v>1065</v>
      </c>
      <c r="B448" s="14">
        <v>46083</v>
      </c>
      <c r="C448" s="2">
        <v>151382276</v>
      </c>
    </row>
    <row r="449" spans="1:4" x14ac:dyDescent="0.45">
      <c r="A449" s="12" t="s">
        <v>1065</v>
      </c>
      <c r="B449" s="13">
        <v>46083</v>
      </c>
      <c r="C449" s="4">
        <v>151382311</v>
      </c>
      <c r="D449" s="19"/>
    </row>
    <row r="450" spans="1:4" x14ac:dyDescent="0.45">
      <c r="A450" t="s">
        <v>1065</v>
      </c>
      <c r="B450" s="14">
        <v>46084</v>
      </c>
      <c r="C450" s="2">
        <v>151384306</v>
      </c>
    </row>
    <row r="451" spans="1:4" x14ac:dyDescent="0.45">
      <c r="A451" s="12" t="s">
        <v>1065</v>
      </c>
      <c r="B451" s="13">
        <v>46084</v>
      </c>
      <c r="C451" s="4">
        <v>151384399</v>
      </c>
      <c r="D451" s="19"/>
    </row>
    <row r="452" spans="1:4" x14ac:dyDescent="0.45">
      <c r="A452" s="12"/>
      <c r="B452" s="13">
        <v>46084</v>
      </c>
      <c r="C452" s="4">
        <v>151384506</v>
      </c>
      <c r="D452" s="19"/>
    </row>
    <row r="453" spans="1:4" x14ac:dyDescent="0.45">
      <c r="A453" t="s">
        <v>1065</v>
      </c>
      <c r="B453" s="14">
        <v>46084</v>
      </c>
      <c r="C453" s="2">
        <v>151384555</v>
      </c>
    </row>
    <row r="454" spans="1:4" x14ac:dyDescent="0.45">
      <c r="A454" s="12" t="s">
        <v>1065</v>
      </c>
      <c r="B454" s="13">
        <v>46084</v>
      </c>
      <c r="C454" s="4">
        <v>151384701</v>
      </c>
      <c r="D454" s="19"/>
    </row>
    <row r="455" spans="1:4" x14ac:dyDescent="0.45">
      <c r="A455" t="s">
        <v>1065</v>
      </c>
      <c r="B455" s="14">
        <v>46085</v>
      </c>
      <c r="C455" s="2">
        <v>151386830</v>
      </c>
    </row>
    <row r="456" spans="1:4" x14ac:dyDescent="0.45">
      <c r="A456" s="12" t="s">
        <v>1065</v>
      </c>
      <c r="B456" s="13">
        <v>46086</v>
      </c>
      <c r="C456" s="4">
        <v>151388593</v>
      </c>
      <c r="D456" s="19"/>
    </row>
    <row r="457" spans="1:4" x14ac:dyDescent="0.45">
      <c r="A457" t="s">
        <v>1065</v>
      </c>
      <c r="B457" s="14">
        <v>46086</v>
      </c>
      <c r="C457" s="2">
        <v>151388788</v>
      </c>
    </row>
    <row r="458" spans="1:4" x14ac:dyDescent="0.45">
      <c r="B458" s="14">
        <v>46087</v>
      </c>
      <c r="C458" s="2">
        <v>151390558</v>
      </c>
    </row>
    <row r="459" spans="1:4" x14ac:dyDescent="0.45">
      <c r="A459" s="12"/>
      <c r="B459" s="13">
        <v>46087</v>
      </c>
      <c r="C459" s="4">
        <v>151390660</v>
      </c>
      <c r="D459" s="19"/>
    </row>
    <row r="460" spans="1:4" x14ac:dyDescent="0.45">
      <c r="A460" s="12" t="s">
        <v>1065</v>
      </c>
      <c r="B460" s="13">
        <v>46087</v>
      </c>
      <c r="C460" s="4">
        <v>151390786</v>
      </c>
      <c r="D460" s="19"/>
    </row>
    <row r="461" spans="1:4" x14ac:dyDescent="0.45">
      <c r="B461" s="14">
        <v>46087</v>
      </c>
      <c r="C461" s="2">
        <v>151391043</v>
      </c>
    </row>
    <row r="462" spans="1:4" x14ac:dyDescent="0.45">
      <c r="A462" s="12" t="s">
        <v>1065</v>
      </c>
      <c r="B462" s="13">
        <v>46088</v>
      </c>
      <c r="C462" s="4">
        <v>151392101</v>
      </c>
      <c r="D462" s="19"/>
    </row>
    <row r="463" spans="1:4" x14ac:dyDescent="0.45">
      <c r="A463" s="12" t="s">
        <v>1065</v>
      </c>
      <c r="B463" s="13">
        <v>46090</v>
      </c>
      <c r="C463" s="4">
        <v>151394893</v>
      </c>
      <c r="D463" s="19"/>
    </row>
    <row r="464" spans="1:4" x14ac:dyDescent="0.45">
      <c r="A464" s="12"/>
      <c r="B464" s="13">
        <v>46090</v>
      </c>
      <c r="C464" s="4">
        <v>151394921</v>
      </c>
      <c r="D464" s="19"/>
    </row>
    <row r="465" spans="1:4" x14ac:dyDescent="0.45">
      <c r="A465" t="s">
        <v>1065</v>
      </c>
      <c r="B465" s="14">
        <v>46090</v>
      </c>
      <c r="C465" s="2">
        <v>151394961</v>
      </c>
    </row>
    <row r="466" spans="1:4" x14ac:dyDescent="0.45">
      <c r="A466" t="s">
        <v>1065</v>
      </c>
      <c r="B466" s="14">
        <v>46091</v>
      </c>
      <c r="C466" s="2">
        <v>151396879</v>
      </c>
    </row>
    <row r="467" spans="1:4" x14ac:dyDescent="0.45">
      <c r="B467" s="14">
        <v>46091</v>
      </c>
      <c r="C467" s="2">
        <v>151397034</v>
      </c>
    </row>
    <row r="468" spans="1:4" x14ac:dyDescent="0.45">
      <c r="A468" s="12"/>
      <c r="B468" s="13">
        <v>46092</v>
      </c>
      <c r="C468" s="4">
        <v>151399009</v>
      </c>
      <c r="D468" s="19"/>
    </row>
    <row r="469" spans="1:4" x14ac:dyDescent="0.45">
      <c r="A469" s="12" t="s">
        <v>1065</v>
      </c>
      <c r="B469" s="13">
        <v>46099</v>
      </c>
      <c r="C469" s="4">
        <v>151409778</v>
      </c>
      <c r="D469" s="19"/>
    </row>
    <row r="470" spans="1:4" x14ac:dyDescent="0.45">
      <c r="A470" t="s">
        <v>1065</v>
      </c>
      <c r="B470" s="14">
        <v>46099</v>
      </c>
      <c r="C470" s="2">
        <v>151409850</v>
      </c>
    </row>
    <row r="471" spans="1:4" x14ac:dyDescent="0.45">
      <c r="A471" t="s">
        <v>1065</v>
      </c>
      <c r="B471" s="14">
        <v>46100</v>
      </c>
      <c r="C471" s="2">
        <v>151413973</v>
      </c>
    </row>
    <row r="472" spans="1:4" x14ac:dyDescent="0.45">
      <c r="A472" t="s">
        <v>254</v>
      </c>
      <c r="B472" s="14">
        <v>46102</v>
      </c>
      <c r="C472" s="2">
        <v>151417029</v>
      </c>
    </row>
    <row r="473" spans="1:4" x14ac:dyDescent="0.45">
      <c r="A473" s="12" t="s">
        <v>1065</v>
      </c>
      <c r="B473" s="13">
        <v>46102</v>
      </c>
      <c r="C473" s="4">
        <v>151417073</v>
      </c>
      <c r="D473" s="19"/>
    </row>
    <row r="474" spans="1:4" x14ac:dyDescent="0.45">
      <c r="A474" t="s">
        <v>1065</v>
      </c>
      <c r="B474" s="14">
        <v>46103</v>
      </c>
      <c r="C474" s="2">
        <v>151417633</v>
      </c>
    </row>
    <row r="475" spans="1:4" x14ac:dyDescent="0.45">
      <c r="A475" s="12" t="s">
        <v>1065</v>
      </c>
      <c r="B475" s="13">
        <v>46104</v>
      </c>
      <c r="C475" s="4">
        <v>151419942</v>
      </c>
      <c r="D475" s="19"/>
    </row>
    <row r="476" spans="1:4" x14ac:dyDescent="0.45">
      <c r="A476" s="12"/>
      <c r="B476" s="13">
        <v>46106</v>
      </c>
      <c r="C476" s="4">
        <v>151423384</v>
      </c>
      <c r="D476" s="19"/>
    </row>
    <row r="477" spans="1:4" x14ac:dyDescent="0.45">
      <c r="A477" t="s">
        <v>1065</v>
      </c>
      <c r="B477" s="14">
        <v>46107</v>
      </c>
      <c r="C477" s="2">
        <v>151425901</v>
      </c>
    </row>
    <row r="478" spans="1:4" x14ac:dyDescent="0.45">
      <c r="A478" t="s">
        <v>1065</v>
      </c>
      <c r="B478" s="14">
        <v>46108</v>
      </c>
      <c r="C478" s="2">
        <v>151428371</v>
      </c>
    </row>
    <row r="479" spans="1:4" x14ac:dyDescent="0.45">
      <c r="A479" s="12" t="s">
        <v>1065</v>
      </c>
      <c r="B479" s="13">
        <v>46108</v>
      </c>
      <c r="C479" s="4">
        <v>151428403</v>
      </c>
      <c r="D479" s="19"/>
    </row>
    <row r="480" spans="1:4" x14ac:dyDescent="0.45">
      <c r="B480" s="14">
        <v>46108</v>
      </c>
      <c r="C480" s="2">
        <v>151428424</v>
      </c>
    </row>
    <row r="481" spans="1:4" x14ac:dyDescent="0.45">
      <c r="A481" s="12"/>
      <c r="B481" s="13">
        <v>46108</v>
      </c>
      <c r="C481" s="4">
        <v>151428472</v>
      </c>
      <c r="D481" s="19"/>
    </row>
    <row r="482" spans="1:4" x14ac:dyDescent="0.45">
      <c r="A482" s="12" t="s">
        <v>1065</v>
      </c>
      <c r="B482" s="13">
        <v>46109</v>
      </c>
      <c r="C482" s="4">
        <v>151429920</v>
      </c>
      <c r="D482" s="19"/>
    </row>
    <row r="483" spans="1:4" x14ac:dyDescent="0.45">
      <c r="A483" s="12" t="s">
        <v>1065</v>
      </c>
      <c r="B483" s="13">
        <v>46112</v>
      </c>
      <c r="C483" s="4">
        <v>151434956</v>
      </c>
      <c r="D483" s="19"/>
    </row>
    <row r="484" spans="1:4" x14ac:dyDescent="0.45">
      <c r="A484" s="12" t="s">
        <v>254</v>
      </c>
      <c r="B484" s="13">
        <v>46114</v>
      </c>
      <c r="C484" s="4">
        <v>151437536</v>
      </c>
      <c r="D484" s="19"/>
    </row>
    <row r="485" spans="1:4" x14ac:dyDescent="0.45">
      <c r="A485" t="s">
        <v>1065</v>
      </c>
      <c r="B485" s="14">
        <v>46114</v>
      </c>
      <c r="C485" s="2">
        <v>151437550</v>
      </c>
    </row>
    <row r="486" spans="1:4" x14ac:dyDescent="0.45">
      <c r="A486" s="12" t="s">
        <v>1065</v>
      </c>
      <c r="B486" s="13">
        <v>46116</v>
      </c>
      <c r="C486" s="4">
        <v>151440764</v>
      </c>
      <c r="D486" s="19"/>
    </row>
    <row r="487" spans="1:4" x14ac:dyDescent="0.45">
      <c r="A487" t="s">
        <v>1065</v>
      </c>
      <c r="B487" s="14">
        <v>46116</v>
      </c>
      <c r="C487" s="2">
        <v>151440784</v>
      </c>
    </row>
    <row r="488" spans="1:4" x14ac:dyDescent="0.45">
      <c r="A488" t="s">
        <v>254</v>
      </c>
      <c r="B488" s="14">
        <v>46116</v>
      </c>
      <c r="C488" s="2">
        <v>151440807</v>
      </c>
    </row>
    <row r="489" spans="1:4" x14ac:dyDescent="0.45">
      <c r="A489" s="12"/>
      <c r="B489" s="13">
        <v>46119</v>
      </c>
      <c r="C489" s="4">
        <v>151446000</v>
      </c>
      <c r="D489" s="19"/>
    </row>
    <row r="490" spans="1:4" x14ac:dyDescent="0.45">
      <c r="A490" s="12" t="s">
        <v>1065</v>
      </c>
      <c r="B490" s="13">
        <v>46119</v>
      </c>
      <c r="C490" s="4">
        <v>151446028</v>
      </c>
      <c r="D490" s="19"/>
    </row>
    <row r="491" spans="1:4" x14ac:dyDescent="0.45">
      <c r="A491" t="s">
        <v>1065</v>
      </c>
      <c r="B491" s="14">
        <v>46120</v>
      </c>
      <c r="C491" s="2">
        <v>151447934</v>
      </c>
    </row>
    <row r="492" spans="1:4" x14ac:dyDescent="0.45">
      <c r="A492" s="12" t="s">
        <v>1065</v>
      </c>
      <c r="B492" s="13">
        <v>46122</v>
      </c>
      <c r="C492" s="4">
        <v>151452092</v>
      </c>
      <c r="D492" s="19"/>
    </row>
    <row r="493" spans="1:4" x14ac:dyDescent="0.45">
      <c r="A493" s="12" t="s">
        <v>1065</v>
      </c>
      <c r="B493" s="13">
        <v>46125</v>
      </c>
      <c r="C493" s="4">
        <v>151454531</v>
      </c>
      <c r="D493" s="19"/>
    </row>
    <row r="494" spans="1:4" x14ac:dyDescent="0.45">
      <c r="A494" t="s">
        <v>1065</v>
      </c>
      <c r="B494" s="14">
        <v>46125</v>
      </c>
      <c r="C494" s="2">
        <v>151456273</v>
      </c>
    </row>
    <row r="495" spans="1:4" x14ac:dyDescent="0.45">
      <c r="A495" s="12" t="s">
        <v>254</v>
      </c>
      <c r="B495" s="13">
        <v>46125</v>
      </c>
      <c r="C495" s="4">
        <v>151456274</v>
      </c>
      <c r="D495" s="19"/>
    </row>
    <row r="496" spans="1:4" x14ac:dyDescent="0.45">
      <c r="A496" s="12" t="s">
        <v>254</v>
      </c>
      <c r="B496" s="13">
        <v>46125</v>
      </c>
      <c r="C496" s="4">
        <v>151456324</v>
      </c>
      <c r="D496" s="19"/>
    </row>
    <row r="497" spans="1:4" x14ac:dyDescent="0.45">
      <c r="A497" t="s">
        <v>1065</v>
      </c>
      <c r="B497" s="14">
        <v>46127</v>
      </c>
      <c r="C497" s="2">
        <v>151459433</v>
      </c>
    </row>
    <row r="498" spans="1:4" x14ac:dyDescent="0.45">
      <c r="A498" s="12" t="s">
        <v>254</v>
      </c>
      <c r="B498" s="13">
        <v>46127</v>
      </c>
      <c r="C498" s="4">
        <v>151460691</v>
      </c>
      <c r="D498" s="19"/>
    </row>
    <row r="499" spans="1:4" x14ac:dyDescent="0.45">
      <c r="B499" s="14">
        <v>46127</v>
      </c>
      <c r="C499" s="2">
        <v>151460694</v>
      </c>
    </row>
    <row r="500" spans="1:4" x14ac:dyDescent="0.45">
      <c r="A500" s="12" t="s">
        <v>254</v>
      </c>
      <c r="B500" s="13">
        <v>46127</v>
      </c>
      <c r="C500" s="4">
        <v>151460739</v>
      </c>
      <c r="D500" s="19"/>
    </row>
    <row r="501" spans="1:4" x14ac:dyDescent="0.45">
      <c r="A501" s="12" t="s">
        <v>254</v>
      </c>
      <c r="B501" s="13">
        <v>46127</v>
      </c>
      <c r="C501" s="4">
        <v>151460807</v>
      </c>
      <c r="D501" s="19"/>
    </row>
    <row r="502" spans="1:4" x14ac:dyDescent="0.45">
      <c r="A502" s="12" t="s">
        <v>254</v>
      </c>
      <c r="B502" s="13">
        <v>46128</v>
      </c>
      <c r="C502" s="4">
        <v>151462717</v>
      </c>
      <c r="D502" s="19"/>
    </row>
    <row r="503" spans="1:4" x14ac:dyDescent="0.45">
      <c r="A503" t="s">
        <v>254</v>
      </c>
      <c r="B503" s="14">
        <v>46128</v>
      </c>
      <c r="C503" s="2">
        <v>151462743</v>
      </c>
    </row>
    <row r="504" spans="1:4" x14ac:dyDescent="0.45">
      <c r="A504" t="s">
        <v>254</v>
      </c>
      <c r="B504" s="14">
        <v>46128</v>
      </c>
      <c r="C504" s="2">
        <v>151462818</v>
      </c>
    </row>
    <row r="505" spans="1:4" x14ac:dyDescent="0.45">
      <c r="A505" s="12" t="s">
        <v>1065</v>
      </c>
      <c r="B505" s="13">
        <v>46128</v>
      </c>
      <c r="C505" s="4">
        <v>151462848</v>
      </c>
      <c r="D505" s="19"/>
    </row>
    <row r="506" spans="1:4" x14ac:dyDescent="0.45">
      <c r="A506" t="s">
        <v>1065</v>
      </c>
      <c r="B506" s="14">
        <v>46128</v>
      </c>
      <c r="C506" s="2">
        <v>151462914</v>
      </c>
    </row>
    <row r="507" spans="1:4" x14ac:dyDescent="0.45">
      <c r="A507" t="s">
        <v>254</v>
      </c>
      <c r="B507" s="14">
        <v>46130</v>
      </c>
      <c r="C507" s="2">
        <v>151465310</v>
      </c>
    </row>
    <row r="508" spans="1:4" x14ac:dyDescent="0.45">
      <c r="A508" s="12" t="s">
        <v>254</v>
      </c>
      <c r="B508" s="13">
        <v>46130</v>
      </c>
      <c r="C508" s="4">
        <v>151465766</v>
      </c>
      <c r="D508" s="19"/>
    </row>
    <row r="509" spans="1:4" x14ac:dyDescent="0.45">
      <c r="A509" s="12" t="s">
        <v>1065</v>
      </c>
      <c r="B509" s="13">
        <v>46130</v>
      </c>
      <c r="C509" s="4">
        <v>151465943</v>
      </c>
      <c r="D509" s="19"/>
    </row>
    <row r="510" spans="1:4" x14ac:dyDescent="0.45">
      <c r="A510" s="12" t="s">
        <v>254</v>
      </c>
      <c r="B510" s="13">
        <v>46130</v>
      </c>
      <c r="C510" s="4">
        <v>151465956</v>
      </c>
      <c r="D510" s="19"/>
    </row>
    <row r="511" spans="1:4" x14ac:dyDescent="0.45">
      <c r="A511" t="s">
        <v>254</v>
      </c>
      <c r="B511" s="14">
        <v>46132</v>
      </c>
      <c r="C511" s="2">
        <v>151467648</v>
      </c>
    </row>
    <row r="512" spans="1:4" x14ac:dyDescent="0.45">
      <c r="A512" t="s">
        <v>1065</v>
      </c>
      <c r="B512" s="14">
        <v>46132</v>
      </c>
      <c r="C512" s="2">
        <v>151467910</v>
      </c>
    </row>
    <row r="513" spans="1:4" x14ac:dyDescent="0.45">
      <c r="A513" t="s">
        <v>1065</v>
      </c>
      <c r="B513" s="14">
        <v>46134</v>
      </c>
      <c r="C513" s="2">
        <v>151472705</v>
      </c>
    </row>
    <row r="514" spans="1:4" x14ac:dyDescent="0.45">
      <c r="A514" s="12" t="s">
        <v>1065</v>
      </c>
      <c r="B514" s="13">
        <v>46136</v>
      </c>
      <c r="C514" s="4">
        <v>151476101</v>
      </c>
      <c r="D514" s="19"/>
    </row>
    <row r="515" spans="1:4" x14ac:dyDescent="0.45">
      <c r="B515" s="14">
        <v>46137</v>
      </c>
      <c r="C515" s="2">
        <v>151476895</v>
      </c>
    </row>
    <row r="516" spans="1:4" x14ac:dyDescent="0.45">
      <c r="A516" s="12" t="s">
        <v>1065</v>
      </c>
      <c r="B516" s="13">
        <v>46137</v>
      </c>
      <c r="C516" s="4">
        <v>151477255</v>
      </c>
      <c r="D516" s="19"/>
    </row>
    <row r="517" spans="1:4" x14ac:dyDescent="0.45">
      <c r="A517" t="s">
        <v>1065</v>
      </c>
      <c r="B517" s="14">
        <v>46141</v>
      </c>
      <c r="C517" s="2">
        <v>151483730</v>
      </c>
    </row>
    <row r="518" spans="1:4" x14ac:dyDescent="0.45">
      <c r="A518" s="12" t="s">
        <v>1065</v>
      </c>
      <c r="B518" s="13">
        <v>46141</v>
      </c>
      <c r="C518" s="4">
        <v>151483793</v>
      </c>
      <c r="D518" s="19"/>
    </row>
    <row r="519" spans="1:4" x14ac:dyDescent="0.45">
      <c r="A519" t="s">
        <v>1065</v>
      </c>
      <c r="B519" s="14">
        <v>46148</v>
      </c>
      <c r="C519" s="2">
        <v>151494372</v>
      </c>
    </row>
    <row r="520" spans="1:4" x14ac:dyDescent="0.45">
      <c r="A520" s="12" t="s">
        <v>1065</v>
      </c>
      <c r="B520" s="13">
        <v>46149</v>
      </c>
      <c r="C520" s="4">
        <v>151496302</v>
      </c>
      <c r="D520" s="19"/>
    </row>
    <row r="521" spans="1:4" x14ac:dyDescent="0.45">
      <c r="A521" s="12" t="s">
        <v>1065</v>
      </c>
      <c r="B521" s="13">
        <v>46150</v>
      </c>
      <c r="C521" s="4">
        <v>151497993</v>
      </c>
      <c r="D521" s="19"/>
    </row>
    <row r="522" spans="1:4" x14ac:dyDescent="0.45">
      <c r="A522" t="s">
        <v>1065</v>
      </c>
      <c r="B522" s="14">
        <v>46150</v>
      </c>
      <c r="C522" s="2">
        <v>151498017</v>
      </c>
    </row>
    <row r="523" spans="1:4" x14ac:dyDescent="0.45">
      <c r="A523" s="12"/>
      <c r="B523" s="13">
        <v>46153</v>
      </c>
      <c r="C523" s="4">
        <v>151500304</v>
      </c>
      <c r="D523" s="19"/>
    </row>
    <row r="524" spans="1:4" x14ac:dyDescent="0.45">
      <c r="B524" s="14">
        <v>46154</v>
      </c>
      <c r="C524" s="2">
        <v>151503088</v>
      </c>
    </row>
    <row r="525" spans="1:4" x14ac:dyDescent="0.45">
      <c r="A525" t="s">
        <v>254</v>
      </c>
      <c r="B525" s="14">
        <v>46154</v>
      </c>
      <c r="C525" s="2">
        <v>151503589</v>
      </c>
    </row>
    <row r="526" spans="1:4" x14ac:dyDescent="0.45">
      <c r="A526" s="12"/>
      <c r="B526" s="13">
        <v>46155</v>
      </c>
      <c r="C526" s="4">
        <v>151505593</v>
      </c>
      <c r="D526" s="19"/>
    </row>
    <row r="527" spans="1:4" x14ac:dyDescent="0.45">
      <c r="A527" t="s">
        <v>254</v>
      </c>
      <c r="B527" s="14">
        <v>46155</v>
      </c>
      <c r="C527" s="2">
        <v>151505747</v>
      </c>
    </row>
    <row r="528" spans="1:4" x14ac:dyDescent="0.45">
      <c r="A528" s="12" t="s">
        <v>1065</v>
      </c>
      <c r="B528" s="13">
        <v>46155</v>
      </c>
      <c r="C528" s="4">
        <v>151505805</v>
      </c>
      <c r="D528" s="19"/>
    </row>
    <row r="529" spans="1:4" x14ac:dyDescent="0.45">
      <c r="B529" s="14">
        <v>46155</v>
      </c>
      <c r="C529" s="2">
        <v>151505818</v>
      </c>
    </row>
    <row r="530" spans="1:4" x14ac:dyDescent="0.45">
      <c r="A530" t="s">
        <v>254</v>
      </c>
      <c r="B530" s="14">
        <v>46156</v>
      </c>
      <c r="C530" s="2">
        <v>151507513</v>
      </c>
    </row>
    <row r="531" spans="1:4" x14ac:dyDescent="0.45">
      <c r="A531" s="12" t="s">
        <v>254</v>
      </c>
      <c r="B531" s="13">
        <v>46156</v>
      </c>
      <c r="C531" s="4">
        <v>151507530</v>
      </c>
      <c r="D531" s="19"/>
    </row>
    <row r="532" spans="1:4" x14ac:dyDescent="0.45">
      <c r="B532" s="14">
        <v>46156</v>
      </c>
      <c r="C532" s="2">
        <v>151507584</v>
      </c>
    </row>
    <row r="533" spans="1:4" x14ac:dyDescent="0.45">
      <c r="A533" t="s">
        <v>254</v>
      </c>
      <c r="B533" s="14">
        <v>46157</v>
      </c>
      <c r="C533" s="2">
        <v>151509432</v>
      </c>
    </row>
    <row r="534" spans="1:4" x14ac:dyDescent="0.45">
      <c r="A534" s="12" t="s">
        <v>254</v>
      </c>
      <c r="B534" s="13">
        <v>46157</v>
      </c>
      <c r="C534" s="4">
        <v>151509448</v>
      </c>
      <c r="D534" s="19"/>
    </row>
    <row r="535" spans="1:4" x14ac:dyDescent="0.45">
      <c r="A535" s="12" t="s">
        <v>1065</v>
      </c>
      <c r="B535" s="13">
        <v>46157</v>
      </c>
      <c r="C535" s="4">
        <v>151509607</v>
      </c>
      <c r="D535" s="19"/>
    </row>
    <row r="536" spans="1:4" x14ac:dyDescent="0.45">
      <c r="A536" s="12" t="s">
        <v>254</v>
      </c>
      <c r="B536" s="13">
        <v>46157</v>
      </c>
      <c r="C536" s="4">
        <v>151509618</v>
      </c>
      <c r="D536" s="19"/>
    </row>
    <row r="537" spans="1:4" x14ac:dyDescent="0.45">
      <c r="A537" s="12" t="s">
        <v>254</v>
      </c>
      <c r="B537" s="13">
        <v>46157</v>
      </c>
      <c r="C537" s="4">
        <v>151509658</v>
      </c>
      <c r="D537" s="19"/>
    </row>
    <row r="538" spans="1:4" x14ac:dyDescent="0.45">
      <c r="A538" t="s">
        <v>254</v>
      </c>
      <c r="B538" s="14">
        <v>46157</v>
      </c>
      <c r="C538" s="2">
        <v>151509675</v>
      </c>
    </row>
    <row r="539" spans="1:4" x14ac:dyDescent="0.45">
      <c r="A539" t="s">
        <v>1065</v>
      </c>
      <c r="B539" s="14">
        <v>46157</v>
      </c>
      <c r="C539" s="2">
        <v>151509684</v>
      </c>
    </row>
    <row r="540" spans="1:4" x14ac:dyDescent="0.45">
      <c r="A540" t="s">
        <v>1065</v>
      </c>
      <c r="B540" s="14">
        <v>46158</v>
      </c>
      <c r="C540" s="2">
        <v>151509846</v>
      </c>
    </row>
    <row r="541" spans="1:4" x14ac:dyDescent="0.45">
      <c r="A541" s="12" t="s">
        <v>1065</v>
      </c>
      <c r="B541" s="13">
        <v>46158</v>
      </c>
      <c r="C541" s="4">
        <v>151509889</v>
      </c>
      <c r="D541" s="19"/>
    </row>
    <row r="542" spans="1:4" x14ac:dyDescent="0.45">
      <c r="A542" s="12" t="s">
        <v>1065</v>
      </c>
      <c r="B542" s="13">
        <v>46160</v>
      </c>
      <c r="C542" s="4">
        <v>151512189</v>
      </c>
      <c r="D542" s="19"/>
    </row>
    <row r="543" spans="1:4" x14ac:dyDescent="0.45">
      <c r="A543" t="s">
        <v>1065</v>
      </c>
      <c r="B543" s="14">
        <v>46160</v>
      </c>
      <c r="C543" s="2">
        <v>151512307</v>
      </c>
    </row>
    <row r="544" spans="1:4" x14ac:dyDescent="0.45">
      <c r="A544" t="s">
        <v>1065</v>
      </c>
      <c r="B544" s="14">
        <v>46160</v>
      </c>
      <c r="C544" s="2">
        <v>151512653</v>
      </c>
    </row>
    <row r="545" spans="1:4" x14ac:dyDescent="0.45">
      <c r="A545" s="12" t="s">
        <v>254</v>
      </c>
      <c r="B545" s="13">
        <v>46161</v>
      </c>
      <c r="C545" s="12">
        <v>151513703</v>
      </c>
      <c r="D545" s="19"/>
    </row>
    <row r="546" spans="1:4" x14ac:dyDescent="0.45">
      <c r="A546" t="s">
        <v>254</v>
      </c>
      <c r="B546" s="14">
        <v>46161</v>
      </c>
      <c r="C546">
        <v>151513724</v>
      </c>
    </row>
    <row r="547" spans="1:4" x14ac:dyDescent="0.45">
      <c r="A547" s="12" t="s">
        <v>1065</v>
      </c>
      <c r="B547" s="13">
        <v>46161</v>
      </c>
      <c r="C547" s="12">
        <v>151515331</v>
      </c>
      <c r="D547" s="19"/>
    </row>
    <row r="548" spans="1:4" x14ac:dyDescent="0.45">
      <c r="A548" t="s">
        <v>1065</v>
      </c>
      <c r="B548" s="14">
        <v>46162</v>
      </c>
      <c r="C548">
        <v>151515633</v>
      </c>
    </row>
    <row r="549" spans="1:4" x14ac:dyDescent="0.45">
      <c r="A549" s="12" t="s">
        <v>254</v>
      </c>
      <c r="B549" s="13">
        <v>46162</v>
      </c>
      <c r="C549" s="12">
        <v>151515786</v>
      </c>
      <c r="D549" s="19"/>
    </row>
    <row r="550" spans="1:4" x14ac:dyDescent="0.45">
      <c r="A550" s="12" t="s">
        <v>1065</v>
      </c>
      <c r="B550" s="13">
        <v>46162</v>
      </c>
      <c r="C550" s="12">
        <v>151515989</v>
      </c>
      <c r="D550" s="19"/>
    </row>
    <row r="551" spans="1:4" x14ac:dyDescent="0.45">
      <c r="B551" s="14">
        <v>46162</v>
      </c>
      <c r="C551">
        <v>151516184</v>
      </c>
    </row>
    <row r="552" spans="1:4" x14ac:dyDescent="0.45">
      <c r="B552" s="14">
        <v>46162</v>
      </c>
      <c r="C552">
        <v>151516225</v>
      </c>
    </row>
    <row r="553" spans="1:4" x14ac:dyDescent="0.45">
      <c r="A553" t="s">
        <v>1065</v>
      </c>
      <c r="B553" s="14">
        <v>46162</v>
      </c>
      <c r="C553">
        <v>151516997</v>
      </c>
    </row>
    <row r="554" spans="1:4" x14ac:dyDescent="0.45">
      <c r="A554" s="12"/>
      <c r="B554" s="13">
        <v>46162</v>
      </c>
      <c r="C554" s="12">
        <v>151517020</v>
      </c>
      <c r="D554" s="19"/>
    </row>
    <row r="555" spans="1:4" x14ac:dyDescent="0.45">
      <c r="B555" s="14">
        <v>46162</v>
      </c>
      <c r="C555">
        <v>151517063</v>
      </c>
    </row>
    <row r="556" spans="1:4" x14ac:dyDescent="0.45">
      <c r="A556" t="s">
        <v>1065</v>
      </c>
      <c r="B556" s="14">
        <v>46162</v>
      </c>
      <c r="C556">
        <v>151517067</v>
      </c>
    </row>
    <row r="557" spans="1:4" x14ac:dyDescent="0.45">
      <c r="A557" s="12"/>
      <c r="B557" s="13">
        <v>46162</v>
      </c>
      <c r="C557" s="12">
        <v>151517208</v>
      </c>
      <c r="D557" s="19"/>
    </row>
    <row r="558" spans="1:4" x14ac:dyDescent="0.45">
      <c r="C558">
        <v>151514786</v>
      </c>
    </row>
  </sheetData>
  <sortState xmlns:xlrd2="http://schemas.microsoft.com/office/spreadsheetml/2017/richdata2" ref="A2:D558">
    <sortCondition ref="D1:D558"/>
  </sortState>
  <conditionalFormatting sqref="C1:C1048576">
    <cfRule type="duplicateValues" dxfId="306" priority="1"/>
  </conditionalFormatting>
  <conditionalFormatting sqref="C335:C549">
    <cfRule type="duplicateValues" dxfId="305" priority="307"/>
  </conditionalFormatting>
  <conditionalFormatting sqref="C429:C478">
    <cfRule type="duplicateValues" dxfId="304" priority="306"/>
  </conditionalFormatting>
  <conditionalFormatting sqref="C429:C544">
    <cfRule type="duplicateValues" dxfId="303" priority="305"/>
  </conditionalFormatting>
  <conditionalFormatting sqref="C479:C490">
    <cfRule type="duplicateValues" dxfId="302" priority="270"/>
    <cfRule type="duplicateValues" dxfId="301" priority="286"/>
    <cfRule type="duplicateValues" dxfId="300" priority="287"/>
    <cfRule type="duplicateValues" dxfId="299" priority="288"/>
    <cfRule type="duplicateValues" dxfId="298" priority="289"/>
    <cfRule type="duplicateValues" dxfId="297" priority="290"/>
    <cfRule type="duplicateValues" dxfId="296" priority="291"/>
    <cfRule type="duplicateValues" dxfId="295" priority="292"/>
    <cfRule type="duplicateValues" dxfId="294" priority="293"/>
    <cfRule type="duplicateValues" dxfId="293" priority="294"/>
    <cfRule type="duplicateValues" dxfId="292" priority="295"/>
    <cfRule type="duplicateValues" dxfId="291" priority="296"/>
    <cfRule type="duplicateValues" dxfId="290" priority="297"/>
    <cfRule type="duplicateValues" dxfId="289" priority="298"/>
    <cfRule type="duplicateValues" dxfId="288" priority="299"/>
    <cfRule type="duplicateValues" dxfId="287" priority="300"/>
    <cfRule type="duplicateValues" dxfId="286" priority="301"/>
    <cfRule type="duplicateValues" dxfId="285" priority="302"/>
    <cfRule type="duplicateValues" dxfId="284" priority="303"/>
    <cfRule type="duplicateValues" dxfId="283" priority="304"/>
  </conditionalFormatting>
  <conditionalFormatting sqref="C479:C494">
    <cfRule type="duplicateValues" dxfId="282" priority="271"/>
  </conditionalFormatting>
  <conditionalFormatting sqref="C479:C497">
    <cfRule type="duplicateValues" dxfId="281" priority="272"/>
  </conditionalFormatting>
  <conditionalFormatting sqref="C479:C499">
    <cfRule type="duplicateValues" dxfId="280" priority="273"/>
  </conditionalFormatting>
  <conditionalFormatting sqref="C479:C504">
    <cfRule type="duplicateValues" dxfId="279" priority="274"/>
  </conditionalFormatting>
  <conditionalFormatting sqref="C479:C509">
    <cfRule type="duplicateValues" dxfId="278" priority="275"/>
  </conditionalFormatting>
  <conditionalFormatting sqref="C479:C511">
    <cfRule type="duplicateValues" dxfId="277" priority="276"/>
  </conditionalFormatting>
  <conditionalFormatting sqref="C479:C521">
    <cfRule type="duplicateValues" dxfId="276" priority="277"/>
  </conditionalFormatting>
  <conditionalFormatting sqref="C479:C522">
    <cfRule type="duplicateValues" dxfId="275" priority="278"/>
  </conditionalFormatting>
  <conditionalFormatting sqref="C479:C524">
    <cfRule type="duplicateValues" dxfId="274" priority="279"/>
  </conditionalFormatting>
  <conditionalFormatting sqref="C479:C527">
    <cfRule type="duplicateValues" dxfId="273" priority="280"/>
    <cfRule type="duplicateValues" dxfId="272" priority="281"/>
  </conditionalFormatting>
  <conditionalFormatting sqref="C479:C537">
    <cfRule type="duplicateValues" dxfId="271" priority="282"/>
  </conditionalFormatting>
  <conditionalFormatting sqref="C479:C540">
    <cfRule type="duplicateValues" dxfId="270" priority="283"/>
  </conditionalFormatting>
  <conditionalFormatting sqref="C479:C543">
    <cfRule type="duplicateValues" dxfId="269" priority="284"/>
    <cfRule type="duplicateValues" dxfId="268" priority="285"/>
  </conditionalFormatting>
  <conditionalFormatting sqref="C479:C544">
    <cfRule type="duplicateValues" dxfId="267" priority="269"/>
  </conditionalFormatting>
  <conditionalFormatting sqref="C491:C494">
    <cfRule type="duplicateValues" dxfId="266" priority="250"/>
    <cfRule type="duplicateValues" dxfId="265" priority="251"/>
    <cfRule type="duplicateValues" dxfId="264" priority="252"/>
    <cfRule type="duplicateValues" dxfId="263" priority="253"/>
    <cfRule type="duplicateValues" dxfId="262" priority="254"/>
    <cfRule type="duplicateValues" dxfId="261" priority="255"/>
    <cfRule type="duplicateValues" dxfId="260" priority="256"/>
    <cfRule type="duplicateValues" dxfId="259" priority="257"/>
    <cfRule type="duplicateValues" dxfId="258" priority="258"/>
    <cfRule type="duplicateValues" dxfId="257" priority="259"/>
    <cfRule type="duplicateValues" dxfId="256" priority="260"/>
    <cfRule type="duplicateValues" dxfId="255" priority="261"/>
    <cfRule type="duplicateValues" dxfId="254" priority="262"/>
    <cfRule type="duplicateValues" dxfId="253" priority="263"/>
    <cfRule type="duplicateValues" dxfId="252" priority="264"/>
    <cfRule type="duplicateValues" dxfId="251" priority="265"/>
    <cfRule type="duplicateValues" dxfId="250" priority="266"/>
    <cfRule type="duplicateValues" dxfId="249" priority="267"/>
    <cfRule type="duplicateValues" dxfId="248" priority="268"/>
  </conditionalFormatting>
  <conditionalFormatting sqref="C495:C497">
    <cfRule type="duplicateValues" dxfId="247" priority="231"/>
    <cfRule type="duplicateValues" dxfId="246" priority="232"/>
    <cfRule type="duplicateValues" dxfId="245" priority="233"/>
    <cfRule type="duplicateValues" dxfId="244" priority="234"/>
    <cfRule type="duplicateValues" dxfId="243" priority="235"/>
    <cfRule type="duplicateValues" dxfId="242" priority="236"/>
    <cfRule type="duplicateValues" dxfId="241" priority="237"/>
    <cfRule type="duplicateValues" dxfId="240" priority="238"/>
    <cfRule type="duplicateValues" dxfId="239" priority="239"/>
    <cfRule type="duplicateValues" dxfId="238" priority="240"/>
    <cfRule type="duplicateValues" dxfId="237" priority="241"/>
    <cfRule type="duplicateValues" dxfId="236" priority="242"/>
    <cfRule type="duplicateValues" dxfId="235" priority="243"/>
    <cfRule type="duplicateValues" dxfId="234" priority="244"/>
    <cfRule type="duplicateValues" dxfId="233" priority="245"/>
    <cfRule type="duplicateValues" dxfId="232" priority="246"/>
    <cfRule type="duplicateValues" dxfId="231" priority="247"/>
    <cfRule type="duplicateValues" dxfId="230" priority="248"/>
    <cfRule type="duplicateValues" dxfId="229" priority="249"/>
  </conditionalFormatting>
  <conditionalFormatting sqref="C498:C499">
    <cfRule type="duplicateValues" dxfId="228" priority="212"/>
    <cfRule type="duplicateValues" dxfId="227" priority="213"/>
    <cfRule type="duplicateValues" dxfId="226" priority="214"/>
    <cfRule type="duplicateValues" dxfId="225" priority="215"/>
    <cfRule type="duplicateValues" dxfId="224" priority="216"/>
    <cfRule type="duplicateValues" dxfId="223" priority="217"/>
    <cfRule type="duplicateValues" dxfId="222" priority="218"/>
    <cfRule type="duplicateValues" dxfId="221" priority="219"/>
    <cfRule type="duplicateValues" dxfId="220" priority="220"/>
    <cfRule type="duplicateValues" dxfId="219" priority="221"/>
    <cfRule type="duplicateValues" dxfId="218" priority="222"/>
    <cfRule type="duplicateValues" dxfId="217" priority="223"/>
    <cfRule type="duplicateValues" dxfId="216" priority="224"/>
    <cfRule type="duplicateValues" dxfId="215" priority="225"/>
    <cfRule type="duplicateValues" dxfId="214" priority="226"/>
    <cfRule type="duplicateValues" dxfId="213" priority="227"/>
    <cfRule type="duplicateValues" dxfId="212" priority="228"/>
    <cfRule type="duplicateValues" dxfId="211" priority="229"/>
    <cfRule type="duplicateValues" dxfId="210" priority="230"/>
  </conditionalFormatting>
  <conditionalFormatting sqref="C500:C504">
    <cfRule type="duplicateValues" dxfId="209" priority="193"/>
    <cfRule type="duplicateValues" dxfId="208" priority="194"/>
    <cfRule type="duplicateValues" dxfId="207" priority="195"/>
    <cfRule type="duplicateValues" dxfId="206" priority="196"/>
    <cfRule type="duplicateValues" dxfId="205" priority="197"/>
    <cfRule type="duplicateValues" dxfId="204" priority="198"/>
    <cfRule type="duplicateValues" dxfId="203" priority="199"/>
    <cfRule type="duplicateValues" dxfId="202" priority="200"/>
    <cfRule type="duplicateValues" dxfId="201" priority="201"/>
    <cfRule type="duplicateValues" dxfId="200" priority="202"/>
    <cfRule type="duplicateValues" dxfId="199" priority="203"/>
    <cfRule type="duplicateValues" dxfId="198" priority="204"/>
    <cfRule type="duplicateValues" dxfId="197" priority="205"/>
    <cfRule type="duplicateValues" dxfId="196" priority="206"/>
    <cfRule type="duplicateValues" dxfId="195" priority="207"/>
    <cfRule type="duplicateValues" dxfId="194" priority="208"/>
    <cfRule type="duplicateValues" dxfId="193" priority="209"/>
    <cfRule type="duplicateValues" dxfId="192" priority="210"/>
    <cfRule type="duplicateValues" dxfId="191" priority="211"/>
  </conditionalFormatting>
  <conditionalFormatting sqref="C505:C509">
    <cfRule type="duplicateValues" dxfId="190" priority="174"/>
    <cfRule type="duplicateValues" dxfId="189" priority="175"/>
    <cfRule type="duplicateValues" dxfId="188" priority="176"/>
    <cfRule type="duplicateValues" dxfId="187" priority="177"/>
    <cfRule type="duplicateValues" dxfId="186" priority="178"/>
    <cfRule type="duplicateValues" dxfId="185" priority="179"/>
    <cfRule type="duplicateValues" dxfId="184" priority="180"/>
    <cfRule type="duplicateValues" dxfId="183" priority="181"/>
    <cfRule type="duplicateValues" dxfId="182" priority="182"/>
    <cfRule type="duplicateValues" dxfId="181" priority="183"/>
    <cfRule type="duplicateValues" dxfId="180" priority="184"/>
    <cfRule type="duplicateValues" dxfId="179" priority="185"/>
    <cfRule type="duplicateValues" dxfId="178" priority="186"/>
    <cfRule type="duplicateValues" dxfId="177" priority="187"/>
    <cfRule type="duplicateValues" dxfId="176" priority="188"/>
    <cfRule type="duplicateValues" dxfId="175" priority="189"/>
    <cfRule type="duplicateValues" dxfId="174" priority="190"/>
    <cfRule type="duplicateValues" dxfId="173" priority="191"/>
    <cfRule type="duplicateValues" dxfId="172" priority="192"/>
  </conditionalFormatting>
  <conditionalFormatting sqref="C510:C511">
    <cfRule type="duplicateValues" dxfId="171" priority="155"/>
    <cfRule type="duplicateValues" dxfId="170" priority="156"/>
    <cfRule type="duplicateValues" dxfId="169" priority="157"/>
    <cfRule type="duplicateValues" dxfId="168" priority="158"/>
    <cfRule type="duplicateValues" dxfId="167" priority="159"/>
    <cfRule type="duplicateValues" dxfId="166" priority="160"/>
    <cfRule type="duplicateValues" dxfId="165" priority="161"/>
    <cfRule type="duplicateValues" dxfId="164" priority="162"/>
    <cfRule type="duplicateValues" dxfId="163" priority="163"/>
    <cfRule type="duplicateValues" dxfId="162" priority="164"/>
    <cfRule type="duplicateValues" dxfId="161" priority="165"/>
    <cfRule type="duplicateValues" dxfId="160" priority="166"/>
    <cfRule type="duplicateValues" dxfId="159" priority="167"/>
    <cfRule type="duplicateValues" dxfId="158" priority="168"/>
    <cfRule type="duplicateValues" dxfId="157" priority="169"/>
    <cfRule type="duplicateValues" dxfId="156" priority="170"/>
    <cfRule type="duplicateValues" dxfId="155" priority="171"/>
    <cfRule type="duplicateValues" dxfId="154" priority="172"/>
    <cfRule type="duplicateValues" dxfId="153" priority="173"/>
  </conditionalFormatting>
  <conditionalFormatting sqref="C512:C521">
    <cfRule type="duplicateValues" dxfId="152" priority="136"/>
    <cfRule type="duplicateValues" dxfId="151" priority="137"/>
    <cfRule type="duplicateValues" dxfId="150" priority="138"/>
    <cfRule type="duplicateValues" dxfId="149" priority="139"/>
    <cfRule type="duplicateValues" dxfId="148" priority="140"/>
    <cfRule type="duplicateValues" dxfId="147" priority="141"/>
    <cfRule type="duplicateValues" dxfId="146" priority="142"/>
    <cfRule type="duplicateValues" dxfId="145" priority="143"/>
    <cfRule type="duplicateValues" dxfId="144" priority="144"/>
    <cfRule type="duplicateValues" dxfId="143" priority="145"/>
    <cfRule type="duplicateValues" dxfId="142" priority="146"/>
    <cfRule type="duplicateValues" dxfId="141" priority="147"/>
    <cfRule type="duplicateValues" dxfId="140" priority="148"/>
    <cfRule type="duplicateValues" dxfId="139" priority="149"/>
    <cfRule type="duplicateValues" dxfId="138" priority="150"/>
    <cfRule type="duplicateValues" dxfId="137" priority="151"/>
    <cfRule type="duplicateValues" dxfId="136" priority="152"/>
    <cfRule type="duplicateValues" dxfId="135" priority="153"/>
    <cfRule type="duplicateValues" dxfId="134" priority="154"/>
  </conditionalFormatting>
  <conditionalFormatting sqref="C522">
    <cfRule type="duplicateValues" dxfId="133" priority="117"/>
    <cfRule type="duplicateValues" dxfId="132" priority="118"/>
    <cfRule type="duplicateValues" dxfId="131" priority="119"/>
    <cfRule type="duplicateValues" dxfId="130" priority="120"/>
    <cfRule type="duplicateValues" dxfId="129" priority="121"/>
    <cfRule type="duplicateValues" dxfId="128" priority="122"/>
    <cfRule type="duplicateValues" dxfId="127" priority="123"/>
    <cfRule type="duplicateValues" dxfId="126" priority="124"/>
    <cfRule type="duplicateValues" dxfId="125" priority="125"/>
    <cfRule type="duplicateValues" dxfId="124" priority="126"/>
    <cfRule type="duplicateValues" dxfId="123" priority="127"/>
    <cfRule type="duplicateValues" dxfId="122" priority="128"/>
    <cfRule type="duplicateValues" dxfId="121" priority="129"/>
    <cfRule type="duplicateValues" dxfId="120" priority="130"/>
    <cfRule type="duplicateValues" dxfId="119" priority="131"/>
    <cfRule type="duplicateValues" dxfId="118" priority="132"/>
    <cfRule type="duplicateValues" dxfId="117" priority="133"/>
    <cfRule type="duplicateValues" dxfId="116" priority="134"/>
    <cfRule type="duplicateValues" dxfId="115" priority="135"/>
  </conditionalFormatting>
  <conditionalFormatting sqref="C523:C524">
    <cfRule type="duplicateValues" dxfId="114" priority="98"/>
    <cfRule type="duplicateValues" dxfId="113" priority="99"/>
    <cfRule type="duplicateValues" dxfId="112" priority="100"/>
    <cfRule type="duplicateValues" dxfId="111" priority="101"/>
    <cfRule type="duplicateValues" dxfId="110" priority="102"/>
    <cfRule type="duplicateValues" dxfId="109" priority="103"/>
    <cfRule type="duplicateValues" dxfId="108" priority="104"/>
    <cfRule type="duplicateValues" dxfId="107" priority="105"/>
    <cfRule type="duplicateValues" dxfId="106" priority="106"/>
    <cfRule type="duplicateValues" dxfId="105" priority="107"/>
    <cfRule type="duplicateValues" dxfId="104" priority="108"/>
    <cfRule type="duplicateValues" dxfId="103" priority="109"/>
    <cfRule type="duplicateValues" dxfId="102" priority="110"/>
    <cfRule type="duplicateValues" dxfId="101" priority="111"/>
    <cfRule type="duplicateValues" dxfId="100" priority="112"/>
    <cfRule type="duplicateValues" dxfId="99" priority="113"/>
    <cfRule type="duplicateValues" dxfId="98" priority="114"/>
    <cfRule type="duplicateValues" dxfId="97" priority="115"/>
    <cfRule type="duplicateValues" dxfId="96" priority="116"/>
  </conditionalFormatting>
  <conditionalFormatting sqref="C525:C527">
    <cfRule type="duplicateValues" dxfId="95" priority="79"/>
    <cfRule type="duplicateValues" dxfId="94" priority="80"/>
    <cfRule type="duplicateValues" dxfId="93" priority="81"/>
    <cfRule type="duplicateValues" dxfId="92" priority="82"/>
    <cfRule type="duplicateValues" dxfId="91" priority="83"/>
    <cfRule type="duplicateValues" dxfId="90" priority="84"/>
    <cfRule type="duplicateValues" dxfId="89" priority="85"/>
    <cfRule type="duplicateValues" dxfId="88" priority="86"/>
    <cfRule type="duplicateValues" dxfId="87" priority="87"/>
    <cfRule type="duplicateValues" dxfId="86" priority="88"/>
    <cfRule type="duplicateValues" dxfId="85" priority="89"/>
    <cfRule type="duplicateValues" dxfId="84" priority="90"/>
    <cfRule type="duplicateValues" dxfId="83" priority="91"/>
    <cfRule type="duplicateValues" dxfId="82" priority="92"/>
    <cfRule type="duplicateValues" dxfId="81" priority="93"/>
    <cfRule type="duplicateValues" dxfId="80" priority="94"/>
    <cfRule type="duplicateValues" dxfId="79" priority="95"/>
    <cfRule type="duplicateValues" dxfId="78" priority="96"/>
    <cfRule type="duplicateValues" dxfId="77" priority="97"/>
  </conditionalFormatting>
  <conditionalFormatting sqref="C528:C537">
    <cfRule type="duplicateValues" dxfId="76" priority="60"/>
    <cfRule type="duplicateValues" dxfId="75" priority="61"/>
    <cfRule type="duplicateValues" dxfId="74" priority="62"/>
    <cfRule type="duplicateValues" dxfId="73" priority="63"/>
    <cfRule type="duplicateValues" dxfId="72" priority="64"/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  <cfRule type="duplicateValues" dxfId="66" priority="70"/>
    <cfRule type="duplicateValues" dxfId="65" priority="71"/>
    <cfRule type="duplicateValues" dxfId="64" priority="72"/>
    <cfRule type="duplicateValues" dxfId="63" priority="73"/>
    <cfRule type="duplicateValues" dxfId="62" priority="74"/>
    <cfRule type="duplicateValues" dxfId="61" priority="75"/>
    <cfRule type="duplicateValues" dxfId="60" priority="76"/>
    <cfRule type="duplicateValues" dxfId="59" priority="77"/>
    <cfRule type="duplicateValues" dxfId="58" priority="78"/>
  </conditionalFormatting>
  <conditionalFormatting sqref="C538:C540">
    <cfRule type="duplicateValues" dxfId="57" priority="41"/>
    <cfRule type="duplicateValues" dxfId="56" priority="42"/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47"/>
    <cfRule type="duplicateValues" dxfId="50" priority="48"/>
    <cfRule type="duplicateValues" dxfId="49" priority="49"/>
    <cfRule type="duplicateValues" dxfId="48" priority="50"/>
    <cfRule type="duplicateValues" dxfId="47" priority="51"/>
    <cfRule type="duplicateValues" dxfId="46" priority="52"/>
    <cfRule type="duplicateValues" dxfId="45" priority="53"/>
    <cfRule type="duplicateValues" dxfId="44" priority="54"/>
    <cfRule type="duplicateValues" dxfId="43" priority="55"/>
    <cfRule type="duplicateValues" dxfId="42" priority="56"/>
    <cfRule type="duplicateValues" dxfId="41" priority="57"/>
    <cfRule type="duplicateValues" dxfId="40" priority="58"/>
    <cfRule type="duplicateValues" dxfId="39" priority="59"/>
  </conditionalFormatting>
  <conditionalFormatting sqref="C541:C543">
    <cfRule type="duplicateValues" dxfId="38" priority="22"/>
    <cfRule type="duplicateValues" dxfId="37" priority="23"/>
    <cfRule type="duplicateValues" dxfId="36" priority="24"/>
    <cfRule type="duplicateValues" dxfId="35" priority="25"/>
    <cfRule type="duplicateValues" dxfId="34" priority="26"/>
    <cfRule type="duplicateValues" dxfId="33" priority="27"/>
    <cfRule type="duplicateValues" dxfId="32" priority="28"/>
    <cfRule type="duplicateValues" dxfId="31" priority="29"/>
    <cfRule type="duplicateValues" dxfId="30" priority="30"/>
    <cfRule type="duplicateValues" dxfId="29" priority="31"/>
    <cfRule type="duplicateValues" dxfId="28" priority="32"/>
    <cfRule type="duplicateValues" dxfId="27" priority="33"/>
    <cfRule type="duplicateValues" dxfId="26" priority="34"/>
    <cfRule type="duplicateValues" dxfId="25" priority="35"/>
    <cfRule type="duplicateValues" dxfId="24" priority="36"/>
    <cfRule type="duplicateValues" dxfId="23" priority="37"/>
    <cfRule type="duplicateValues" dxfId="22" priority="38"/>
    <cfRule type="duplicateValues" dxfId="21" priority="39"/>
    <cfRule type="duplicateValues" dxfId="20" priority="40"/>
  </conditionalFormatting>
  <conditionalFormatting sqref="C544">
    <cfRule type="duplicateValues" dxfId="19" priority="3"/>
    <cfRule type="duplicateValues" dxfId="18" priority="4"/>
    <cfRule type="duplicateValues" dxfId="17" priority="5"/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  <cfRule type="duplicateValues" dxfId="11" priority="11"/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  <cfRule type="duplicateValues" dxfId="3" priority="19"/>
    <cfRule type="duplicateValues" dxfId="2" priority="20"/>
    <cfRule type="duplicateValues" dxfId="1" priority="21"/>
  </conditionalFormatting>
  <conditionalFormatting sqref="C559:C1048576 C1:C549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8731-B74A-4886-8373-8DFC5A0F77B5}">
  <dimension ref="A1:AC102"/>
  <sheetViews>
    <sheetView topLeftCell="N1" workbookViewId="0">
      <selection activeCell="U1" sqref="U1"/>
    </sheetView>
  </sheetViews>
  <sheetFormatPr baseColWidth="10" defaultRowHeight="14.25" x14ac:dyDescent="0.45"/>
  <sheetData>
    <row r="1" spans="1:29" x14ac:dyDescent="0.45">
      <c r="A1" s="9" t="s">
        <v>1525</v>
      </c>
      <c r="B1" s="9" t="s">
        <v>1524</v>
      </c>
      <c r="C1" s="9" t="s">
        <v>1523</v>
      </c>
      <c r="D1" s="9" t="s">
        <v>1522</v>
      </c>
      <c r="E1" s="9" t="s">
        <v>1521</v>
      </c>
      <c r="F1" s="9" t="s">
        <v>1520</v>
      </c>
      <c r="G1" s="9" t="s">
        <v>1519</v>
      </c>
      <c r="H1" s="9" t="s">
        <v>1518</v>
      </c>
      <c r="I1" s="9" t="s">
        <v>1517</v>
      </c>
      <c r="J1" s="9" t="s">
        <v>1516</v>
      </c>
      <c r="K1" s="9" t="s">
        <v>1515</v>
      </c>
      <c r="L1" s="9" t="s">
        <v>1514</v>
      </c>
      <c r="M1" s="9" t="s">
        <v>1513</v>
      </c>
      <c r="N1" s="9" t="s">
        <v>1512</v>
      </c>
      <c r="O1" s="11" t="s">
        <v>1511</v>
      </c>
      <c r="P1" s="10" t="s">
        <v>1510</v>
      </c>
      <c r="Q1" s="9" t="s">
        <v>1509</v>
      </c>
      <c r="R1" s="9" t="s">
        <v>1508</v>
      </c>
      <c r="S1" s="9" t="s">
        <v>1507</v>
      </c>
      <c r="T1" s="9" t="s">
        <v>1506</v>
      </c>
      <c r="U1" s="9" t="s">
        <v>1505</v>
      </c>
      <c r="V1" s="9" t="s">
        <v>1504</v>
      </c>
      <c r="W1" s="9" t="s">
        <v>1503</v>
      </c>
      <c r="X1" s="9" t="s">
        <v>1502</v>
      </c>
      <c r="Y1" s="9" t="s">
        <v>1501</v>
      </c>
      <c r="Z1" s="9" t="s">
        <v>1500</v>
      </c>
      <c r="AA1" s="9" t="s">
        <v>1499</v>
      </c>
      <c r="AB1" s="9" t="s">
        <v>1498</v>
      </c>
      <c r="AC1" s="9" t="s">
        <v>1497</v>
      </c>
    </row>
    <row r="2" spans="1:29" x14ac:dyDescent="0.45">
      <c r="A2" s="7">
        <v>710</v>
      </c>
      <c r="B2" s="7" t="s">
        <v>1156</v>
      </c>
      <c r="C2" s="7" t="s">
        <v>1155</v>
      </c>
      <c r="D2" s="7" t="s">
        <v>150</v>
      </c>
      <c r="E2" s="7" t="s">
        <v>42</v>
      </c>
      <c r="F2" s="7">
        <v>5517174025</v>
      </c>
      <c r="G2" s="8">
        <v>46044</v>
      </c>
      <c r="H2" s="7">
        <v>151309427</v>
      </c>
      <c r="I2" s="7">
        <v>21872548</v>
      </c>
      <c r="J2" s="7" t="s">
        <v>1173</v>
      </c>
      <c r="K2" s="7" t="s">
        <v>1496</v>
      </c>
      <c r="L2" s="7" t="s">
        <v>1495</v>
      </c>
      <c r="M2" s="7" t="s">
        <v>1152</v>
      </c>
      <c r="N2" s="7">
        <v>10001013</v>
      </c>
      <c r="O2" s="7" t="s">
        <v>28</v>
      </c>
      <c r="P2" s="7" t="s">
        <v>1151</v>
      </c>
      <c r="Q2" s="7">
        <v>345495</v>
      </c>
      <c r="R2" s="7" t="s">
        <v>1160</v>
      </c>
      <c r="S2" s="7" t="s">
        <v>1240</v>
      </c>
      <c r="T2" s="7">
        <v>1</v>
      </c>
      <c r="U2" s="7">
        <v>898</v>
      </c>
      <c r="V2" s="7">
        <v>1298</v>
      </c>
      <c r="W2" s="7">
        <v>18</v>
      </c>
      <c r="X2" s="7">
        <v>5549802499</v>
      </c>
      <c r="Y2" s="7">
        <v>5571676481</v>
      </c>
      <c r="Z2" s="7" t="s">
        <v>1494</v>
      </c>
      <c r="AA2" s="7" t="s">
        <v>1493</v>
      </c>
      <c r="AB2" s="7" t="s">
        <v>1227</v>
      </c>
      <c r="AC2" s="7">
        <v>18</v>
      </c>
    </row>
    <row r="3" spans="1:29" x14ac:dyDescent="0.45">
      <c r="A3" s="7">
        <v>710</v>
      </c>
      <c r="B3" s="7" t="s">
        <v>1156</v>
      </c>
      <c r="C3" s="7" t="s">
        <v>1155</v>
      </c>
      <c r="D3" s="7" t="s">
        <v>150</v>
      </c>
      <c r="E3" s="7" t="s">
        <v>42</v>
      </c>
      <c r="F3" s="7">
        <v>5521575388</v>
      </c>
      <c r="G3" s="8">
        <v>46029</v>
      </c>
      <c r="H3" s="7">
        <v>151270009</v>
      </c>
      <c r="I3" s="7">
        <v>21328223</v>
      </c>
      <c r="J3" s="7" t="s">
        <v>147</v>
      </c>
      <c r="K3" s="7" t="s">
        <v>1492</v>
      </c>
      <c r="L3" s="7" t="s">
        <v>1153</v>
      </c>
      <c r="M3" s="7" t="s">
        <v>1152</v>
      </c>
      <c r="N3" s="7">
        <v>10001013</v>
      </c>
      <c r="O3" s="7" t="s">
        <v>28</v>
      </c>
      <c r="P3" s="7" t="s">
        <v>1151</v>
      </c>
      <c r="Q3" s="7">
        <v>344154</v>
      </c>
      <c r="R3" s="7" t="s">
        <v>1160</v>
      </c>
      <c r="S3" s="7" t="s">
        <v>1176</v>
      </c>
      <c r="T3" s="7">
        <v>4</v>
      </c>
      <c r="U3" s="7">
        <v>2525</v>
      </c>
      <c r="V3" s="7">
        <v>0</v>
      </c>
      <c r="W3" s="7">
        <v>4</v>
      </c>
      <c r="X3" s="7">
        <v>5576068360</v>
      </c>
      <c r="Y3" s="7">
        <v>5531065345</v>
      </c>
      <c r="Z3" s="7" t="s">
        <v>1491</v>
      </c>
      <c r="AA3" s="7" t="s">
        <v>1490</v>
      </c>
      <c r="AB3" s="7" t="s">
        <v>1458</v>
      </c>
      <c r="AC3" s="7">
        <v>15</v>
      </c>
    </row>
    <row r="4" spans="1:29" x14ac:dyDescent="0.45">
      <c r="A4" s="7">
        <v>710</v>
      </c>
      <c r="B4" s="7" t="s">
        <v>1156</v>
      </c>
      <c r="C4" s="7" t="s">
        <v>1155</v>
      </c>
      <c r="D4" s="7" t="s">
        <v>150</v>
      </c>
      <c r="E4" s="7" t="s">
        <v>42</v>
      </c>
      <c r="F4" s="7">
        <v>5522930282</v>
      </c>
      <c r="G4" s="8">
        <v>46029</v>
      </c>
      <c r="H4" s="7">
        <v>151268375</v>
      </c>
      <c r="I4" s="7">
        <v>21305402</v>
      </c>
      <c r="J4" s="7" t="s">
        <v>147</v>
      </c>
      <c r="K4" s="7" t="s">
        <v>1489</v>
      </c>
      <c r="L4" s="7" t="s">
        <v>1153</v>
      </c>
      <c r="M4" s="7" t="s">
        <v>1152</v>
      </c>
      <c r="N4" s="7">
        <v>10000064</v>
      </c>
      <c r="O4" s="7" t="s">
        <v>28</v>
      </c>
      <c r="P4" s="7" t="s">
        <v>1151</v>
      </c>
      <c r="Q4" s="7">
        <v>326925</v>
      </c>
      <c r="R4" s="7" t="s">
        <v>1160</v>
      </c>
      <c r="S4" s="7" t="s">
        <v>1149</v>
      </c>
      <c r="T4" s="7">
        <v>4</v>
      </c>
      <c r="U4" s="7">
        <v>1571</v>
      </c>
      <c r="V4" s="7">
        <v>400</v>
      </c>
      <c r="W4" s="7">
        <v>4</v>
      </c>
      <c r="X4" s="7">
        <v>5522193689</v>
      </c>
      <c r="Y4" s="7">
        <v>5514178474</v>
      </c>
      <c r="Z4" s="7" t="s">
        <v>1488</v>
      </c>
      <c r="AA4" s="7" t="s">
        <v>1487</v>
      </c>
      <c r="AB4" s="7" t="s">
        <v>1183</v>
      </c>
      <c r="AC4" s="7">
        <v>15</v>
      </c>
    </row>
    <row r="5" spans="1:29" x14ac:dyDescent="0.45">
      <c r="A5" s="7">
        <v>710</v>
      </c>
      <c r="B5" s="7" t="s">
        <v>1156</v>
      </c>
      <c r="C5" s="7" t="s">
        <v>1155</v>
      </c>
      <c r="D5" s="7" t="s">
        <v>162</v>
      </c>
      <c r="E5" s="7" t="s">
        <v>62</v>
      </c>
      <c r="F5" s="7">
        <v>5526326714</v>
      </c>
      <c r="G5" s="8">
        <v>46071</v>
      </c>
      <c r="H5" s="7">
        <v>151355954</v>
      </c>
      <c r="I5" s="7">
        <v>22413180</v>
      </c>
      <c r="J5" s="7" t="s">
        <v>1173</v>
      </c>
      <c r="K5" s="7" t="s">
        <v>1486</v>
      </c>
      <c r="L5" s="7" t="s">
        <v>1306</v>
      </c>
      <c r="M5" s="7" t="s">
        <v>144</v>
      </c>
      <c r="N5" s="7">
        <v>10001013</v>
      </c>
      <c r="O5" s="7" t="s">
        <v>28</v>
      </c>
      <c r="P5" s="7" t="s">
        <v>1151</v>
      </c>
      <c r="Q5" s="7">
        <v>345495</v>
      </c>
      <c r="R5" s="7" t="s">
        <v>1160</v>
      </c>
      <c r="S5" s="7" t="s">
        <v>1240</v>
      </c>
      <c r="T5" s="7">
        <v>2</v>
      </c>
      <c r="U5" s="7">
        <v>999</v>
      </c>
      <c r="V5" s="7">
        <v>0</v>
      </c>
      <c r="W5" s="7">
        <v>14</v>
      </c>
      <c r="X5" s="7">
        <v>5637886409</v>
      </c>
      <c r="Y5" s="7">
        <v>5631528055</v>
      </c>
      <c r="Z5" s="7" t="s">
        <v>1485</v>
      </c>
      <c r="AA5" s="7" t="s">
        <v>1484</v>
      </c>
      <c r="AB5" s="7" t="s">
        <v>1227</v>
      </c>
      <c r="AC5" s="7">
        <v>13</v>
      </c>
    </row>
    <row r="6" spans="1:29" x14ac:dyDescent="0.45">
      <c r="A6" s="7">
        <v>710</v>
      </c>
      <c r="B6" s="7" t="s">
        <v>1156</v>
      </c>
      <c r="C6" s="7" t="s">
        <v>1155</v>
      </c>
      <c r="D6" s="7" t="s">
        <v>162</v>
      </c>
      <c r="E6" s="7" t="s">
        <v>39</v>
      </c>
      <c r="F6" s="7">
        <v>5558866785</v>
      </c>
      <c r="G6" s="8">
        <v>46068</v>
      </c>
      <c r="H6" s="7">
        <v>151345444</v>
      </c>
      <c r="I6" s="7">
        <v>22290885</v>
      </c>
      <c r="J6" s="7" t="s">
        <v>1173</v>
      </c>
      <c r="K6" s="7" t="s">
        <v>1483</v>
      </c>
      <c r="L6" s="7" t="s">
        <v>1482</v>
      </c>
      <c r="M6" s="7" t="s">
        <v>144</v>
      </c>
      <c r="N6" s="7">
        <v>10000064</v>
      </c>
      <c r="O6" s="7" t="s">
        <v>28</v>
      </c>
      <c r="P6" s="7" t="s">
        <v>1151</v>
      </c>
      <c r="Q6" s="7">
        <v>346072</v>
      </c>
      <c r="R6" s="7" t="s">
        <v>1160</v>
      </c>
      <c r="S6" s="7" t="s">
        <v>1275</v>
      </c>
      <c r="T6" s="7">
        <v>2</v>
      </c>
      <c r="U6" s="7">
        <v>1498</v>
      </c>
      <c r="V6" s="7">
        <v>0</v>
      </c>
      <c r="W6" s="7">
        <v>9</v>
      </c>
      <c r="X6" s="7">
        <v>5531519531</v>
      </c>
      <c r="Y6" s="7">
        <v>5514962605</v>
      </c>
      <c r="Z6" s="7" t="s">
        <v>1481</v>
      </c>
      <c r="AA6" s="7" t="s">
        <v>1480</v>
      </c>
      <c r="AB6" s="7"/>
      <c r="AC6" s="7"/>
    </row>
    <row r="7" spans="1:29" x14ac:dyDescent="0.45">
      <c r="A7" s="7">
        <v>710</v>
      </c>
      <c r="B7" s="7" t="s">
        <v>1156</v>
      </c>
      <c r="C7" s="7" t="s">
        <v>1155</v>
      </c>
      <c r="D7" s="7" t="s">
        <v>150</v>
      </c>
      <c r="E7" s="7" t="s">
        <v>42</v>
      </c>
      <c r="F7" s="7">
        <v>5555558619</v>
      </c>
      <c r="G7" s="8">
        <v>46031</v>
      </c>
      <c r="H7" s="7">
        <v>151281955</v>
      </c>
      <c r="I7" s="7">
        <v>21482115</v>
      </c>
      <c r="J7" s="7" t="s">
        <v>147</v>
      </c>
      <c r="K7" s="7" t="s">
        <v>1479</v>
      </c>
      <c r="L7" s="7" t="s">
        <v>1153</v>
      </c>
      <c r="M7" s="7" t="s">
        <v>1152</v>
      </c>
      <c r="N7" s="7">
        <v>10000064</v>
      </c>
      <c r="O7" s="7" t="s">
        <v>28</v>
      </c>
      <c r="P7" s="7" t="s">
        <v>1151</v>
      </c>
      <c r="Q7" s="7">
        <v>326925</v>
      </c>
      <c r="R7" s="7" t="s">
        <v>1160</v>
      </c>
      <c r="S7" s="7" t="s">
        <v>1222</v>
      </c>
      <c r="T7" s="7">
        <v>1</v>
      </c>
      <c r="U7" s="7">
        <v>1070</v>
      </c>
      <c r="V7" s="7">
        <v>1917</v>
      </c>
      <c r="W7" s="7">
        <v>6</v>
      </c>
      <c r="X7" s="7">
        <v>5636140755</v>
      </c>
      <c r="Y7" s="7">
        <v>5530779440</v>
      </c>
      <c r="Z7" s="7" t="s">
        <v>1478</v>
      </c>
      <c r="AA7" s="7" t="s">
        <v>1477</v>
      </c>
      <c r="AB7" s="7" t="s">
        <v>1227</v>
      </c>
      <c r="AC7" s="7">
        <v>19</v>
      </c>
    </row>
    <row r="8" spans="1:29" x14ac:dyDescent="0.45">
      <c r="A8" s="7">
        <v>710</v>
      </c>
      <c r="B8" s="7" t="s">
        <v>1156</v>
      </c>
      <c r="C8" s="7" t="s">
        <v>1155</v>
      </c>
      <c r="D8" s="7" t="s">
        <v>162</v>
      </c>
      <c r="E8" s="7" t="s">
        <v>39</v>
      </c>
      <c r="F8" s="7">
        <v>5596484584</v>
      </c>
      <c r="G8" s="8">
        <v>46032</v>
      </c>
      <c r="H8" s="7">
        <v>151272743</v>
      </c>
      <c r="I8" s="7">
        <v>21361873</v>
      </c>
      <c r="J8" s="7" t="s">
        <v>147</v>
      </c>
      <c r="K8" s="7" t="s">
        <v>1476</v>
      </c>
      <c r="L8" s="7" t="s">
        <v>1195</v>
      </c>
      <c r="M8" s="7" t="s">
        <v>1152</v>
      </c>
      <c r="N8" s="7">
        <v>10000064</v>
      </c>
      <c r="O8" s="7" t="s">
        <v>28</v>
      </c>
      <c r="P8" s="7" t="s">
        <v>1151</v>
      </c>
      <c r="Q8" s="7">
        <v>345974</v>
      </c>
      <c r="R8" s="7" t="s">
        <v>1160</v>
      </c>
      <c r="S8" s="7" t="s">
        <v>1149</v>
      </c>
      <c r="T8" s="7">
        <v>1</v>
      </c>
      <c r="U8" s="7">
        <v>389</v>
      </c>
      <c r="V8" s="7">
        <v>784</v>
      </c>
      <c r="W8" s="7">
        <v>5</v>
      </c>
      <c r="X8" s="7">
        <v>5645972945</v>
      </c>
      <c r="Y8" s="7">
        <v>5526971446</v>
      </c>
      <c r="Z8" s="7" t="s">
        <v>1475</v>
      </c>
      <c r="AA8" s="7"/>
      <c r="AB8" s="7"/>
      <c r="AC8" s="7"/>
    </row>
    <row r="9" spans="1:29" x14ac:dyDescent="0.45">
      <c r="A9" s="7">
        <v>710</v>
      </c>
      <c r="B9" s="7" t="s">
        <v>1156</v>
      </c>
      <c r="C9" s="7" t="s">
        <v>1155</v>
      </c>
      <c r="D9" s="7" t="s">
        <v>162</v>
      </c>
      <c r="E9" s="7" t="s">
        <v>55</v>
      </c>
      <c r="F9" s="7">
        <v>5517161708</v>
      </c>
      <c r="G9" s="8">
        <v>46079</v>
      </c>
      <c r="H9" s="7">
        <v>151373288</v>
      </c>
      <c r="I9" s="7">
        <v>22598508</v>
      </c>
      <c r="J9" s="7" t="s">
        <v>147</v>
      </c>
      <c r="K9" s="7" t="s">
        <v>1474</v>
      </c>
      <c r="L9" s="7" t="s">
        <v>1246</v>
      </c>
      <c r="M9" s="7" t="s">
        <v>1152</v>
      </c>
      <c r="N9" s="7">
        <v>10000064</v>
      </c>
      <c r="O9" s="7" t="s">
        <v>28</v>
      </c>
      <c r="P9" s="7" t="s">
        <v>1151</v>
      </c>
      <c r="Q9" s="7">
        <v>346126</v>
      </c>
      <c r="R9" s="7" t="s">
        <v>1160</v>
      </c>
      <c r="S9" s="7" t="s">
        <v>1149</v>
      </c>
      <c r="T9" s="7">
        <v>2</v>
      </c>
      <c r="U9" s="7">
        <v>1009</v>
      </c>
      <c r="V9" s="7">
        <v>0</v>
      </c>
      <c r="W9" s="7">
        <v>23</v>
      </c>
      <c r="X9" s="7">
        <v>5528237208</v>
      </c>
      <c r="Y9" s="7">
        <v>5616182400</v>
      </c>
      <c r="Z9" s="7" t="s">
        <v>1473</v>
      </c>
      <c r="AA9" s="7" t="s">
        <v>1472</v>
      </c>
      <c r="AB9" s="7" t="s">
        <v>1183</v>
      </c>
      <c r="AC9" s="7">
        <v>10</v>
      </c>
    </row>
    <row r="10" spans="1:29" x14ac:dyDescent="0.45">
      <c r="A10" s="7">
        <v>710</v>
      </c>
      <c r="B10" s="7" t="s">
        <v>1156</v>
      </c>
      <c r="C10" s="7" t="s">
        <v>1155</v>
      </c>
      <c r="D10" s="7" t="s">
        <v>150</v>
      </c>
      <c r="E10" s="7" t="s">
        <v>42</v>
      </c>
      <c r="F10" s="7">
        <v>5511137312</v>
      </c>
      <c r="G10" s="8">
        <v>46032</v>
      </c>
      <c r="H10" s="7">
        <v>151279447</v>
      </c>
      <c r="I10" s="7">
        <v>21459682</v>
      </c>
      <c r="J10" s="7" t="s">
        <v>147</v>
      </c>
      <c r="K10" s="7" t="s">
        <v>1471</v>
      </c>
      <c r="L10" s="7" t="s">
        <v>1153</v>
      </c>
      <c r="M10" s="7" t="s">
        <v>1152</v>
      </c>
      <c r="N10" s="7">
        <v>10000064</v>
      </c>
      <c r="O10" s="7" t="s">
        <v>28</v>
      </c>
      <c r="P10" s="7" t="s">
        <v>1151</v>
      </c>
      <c r="Q10" s="7">
        <v>345974</v>
      </c>
      <c r="R10" s="7" t="s">
        <v>1160</v>
      </c>
      <c r="S10" s="7" t="s">
        <v>1176</v>
      </c>
      <c r="T10" s="7">
        <v>4</v>
      </c>
      <c r="U10" s="7">
        <v>1149</v>
      </c>
      <c r="V10" s="7">
        <v>0</v>
      </c>
      <c r="W10" s="7">
        <v>6</v>
      </c>
      <c r="X10" s="7">
        <v>5512991933</v>
      </c>
      <c r="Y10" s="7">
        <v>5510720129</v>
      </c>
      <c r="Z10" s="7" t="s">
        <v>1470</v>
      </c>
      <c r="AA10" s="7" t="s">
        <v>1469</v>
      </c>
      <c r="AB10" s="7" t="s">
        <v>1183</v>
      </c>
      <c r="AC10" s="7">
        <v>16</v>
      </c>
    </row>
    <row r="11" spans="1:29" x14ac:dyDescent="0.45">
      <c r="A11" s="7">
        <v>710</v>
      </c>
      <c r="B11" s="7" t="s">
        <v>1156</v>
      </c>
      <c r="C11" s="7" t="s">
        <v>1155</v>
      </c>
      <c r="D11" s="7" t="s">
        <v>150</v>
      </c>
      <c r="E11" s="7" t="s">
        <v>31</v>
      </c>
      <c r="F11" s="7">
        <v>5516613670</v>
      </c>
      <c r="G11" s="8">
        <v>46086</v>
      </c>
      <c r="H11" s="7">
        <v>151384631</v>
      </c>
      <c r="I11" s="7">
        <v>22764779</v>
      </c>
      <c r="J11" s="7" t="s">
        <v>147</v>
      </c>
      <c r="K11" s="7" t="s">
        <v>1468</v>
      </c>
      <c r="L11" s="7" t="s">
        <v>1205</v>
      </c>
      <c r="M11" s="7" t="s">
        <v>1152</v>
      </c>
      <c r="N11" s="7">
        <v>10000064</v>
      </c>
      <c r="O11" s="7" t="s">
        <v>28</v>
      </c>
      <c r="P11" s="7" t="s">
        <v>1151</v>
      </c>
      <c r="Q11" s="7">
        <v>351040</v>
      </c>
      <c r="R11" s="7" t="s">
        <v>1160</v>
      </c>
      <c r="S11" s="7" t="s">
        <v>1149</v>
      </c>
      <c r="T11" s="7">
        <v>2</v>
      </c>
      <c r="U11" s="7">
        <v>1353</v>
      </c>
      <c r="V11" s="7">
        <v>0</v>
      </c>
      <c r="W11" s="7">
        <v>4</v>
      </c>
      <c r="X11" s="7">
        <v>5539731535</v>
      </c>
      <c r="Y11" s="7">
        <v>5656828223</v>
      </c>
      <c r="Z11" s="7" t="s">
        <v>1467</v>
      </c>
      <c r="AA11" s="7" t="s">
        <v>1466</v>
      </c>
      <c r="AB11" s="7" t="s">
        <v>1187</v>
      </c>
      <c r="AC11" s="7">
        <v>21</v>
      </c>
    </row>
    <row r="12" spans="1:29" x14ac:dyDescent="0.45">
      <c r="A12" s="7">
        <v>710</v>
      </c>
      <c r="B12" s="7" t="s">
        <v>1156</v>
      </c>
      <c r="C12" s="7" t="s">
        <v>1155</v>
      </c>
      <c r="D12" s="7" t="s">
        <v>150</v>
      </c>
      <c r="E12" s="7" t="s">
        <v>42</v>
      </c>
      <c r="F12" s="7">
        <v>5521563088</v>
      </c>
      <c r="G12" s="8">
        <v>46035</v>
      </c>
      <c r="H12" s="7">
        <v>151292731</v>
      </c>
      <c r="I12" s="7">
        <v>21615152</v>
      </c>
      <c r="J12" s="7" t="s">
        <v>1173</v>
      </c>
      <c r="K12" s="7" t="s">
        <v>1465</v>
      </c>
      <c r="L12" s="7"/>
      <c r="M12" s="7" t="s">
        <v>1152</v>
      </c>
      <c r="N12" s="7">
        <v>10000064</v>
      </c>
      <c r="O12" s="7" t="s">
        <v>28</v>
      </c>
      <c r="P12" s="7" t="s">
        <v>1151</v>
      </c>
      <c r="Q12" s="7">
        <v>346072</v>
      </c>
      <c r="R12" s="7" t="s">
        <v>1160</v>
      </c>
      <c r="S12" s="7" t="s">
        <v>1190</v>
      </c>
      <c r="T12" s="7">
        <v>3</v>
      </c>
      <c r="U12" s="7">
        <v>1881</v>
      </c>
      <c r="V12" s="7">
        <v>0</v>
      </c>
      <c r="W12" s="7">
        <v>8</v>
      </c>
      <c r="X12" s="7">
        <v>5648812688</v>
      </c>
      <c r="Y12" s="7">
        <v>5637114441</v>
      </c>
      <c r="Z12" s="7" t="s">
        <v>1464</v>
      </c>
      <c r="AA12" s="7"/>
      <c r="AB12" s="7" t="s">
        <v>1266</v>
      </c>
      <c r="AC12" s="7">
        <v>15</v>
      </c>
    </row>
    <row r="13" spans="1:29" x14ac:dyDescent="0.45">
      <c r="A13" s="7">
        <v>710</v>
      </c>
      <c r="B13" s="7" t="s">
        <v>1156</v>
      </c>
      <c r="C13" s="7" t="s">
        <v>1155</v>
      </c>
      <c r="D13" s="7" t="s">
        <v>1463</v>
      </c>
      <c r="E13" s="7" t="s">
        <v>46</v>
      </c>
      <c r="F13" s="7">
        <v>5515475993</v>
      </c>
      <c r="G13" s="8">
        <v>46032</v>
      </c>
      <c r="H13" s="7">
        <v>151272932</v>
      </c>
      <c r="I13" s="7">
        <v>21374721</v>
      </c>
      <c r="J13" s="7" t="s">
        <v>147</v>
      </c>
      <c r="K13" s="7" t="s">
        <v>1462</v>
      </c>
      <c r="L13" s="7" t="s">
        <v>1461</v>
      </c>
      <c r="M13" s="7" t="s">
        <v>144</v>
      </c>
      <c r="N13" s="7">
        <v>10001013</v>
      </c>
      <c r="O13" s="7" t="s">
        <v>28</v>
      </c>
      <c r="P13" s="7" t="s">
        <v>1151</v>
      </c>
      <c r="Q13" s="7">
        <v>330804</v>
      </c>
      <c r="R13" s="7" t="s">
        <v>1160</v>
      </c>
      <c r="S13" s="7" t="s">
        <v>1176</v>
      </c>
      <c r="T13" s="7">
        <v>4</v>
      </c>
      <c r="U13" s="7">
        <v>1149</v>
      </c>
      <c r="V13" s="7">
        <v>0</v>
      </c>
      <c r="W13" s="7">
        <v>7</v>
      </c>
      <c r="X13" s="7">
        <v>5547220967</v>
      </c>
      <c r="Y13" s="7">
        <v>5547220967</v>
      </c>
      <c r="Z13" s="7" t="s">
        <v>1460</v>
      </c>
      <c r="AA13" s="7" t="s">
        <v>1459</v>
      </c>
      <c r="AB13" s="7" t="s">
        <v>1458</v>
      </c>
      <c r="AC13" s="7">
        <v>19</v>
      </c>
    </row>
    <row r="14" spans="1:29" x14ac:dyDescent="0.45">
      <c r="A14" s="7">
        <v>710</v>
      </c>
      <c r="B14" s="7" t="s">
        <v>1156</v>
      </c>
      <c r="C14" s="7" t="s">
        <v>1155</v>
      </c>
      <c r="D14" s="7" t="s">
        <v>150</v>
      </c>
      <c r="E14" s="7" t="s">
        <v>42</v>
      </c>
      <c r="F14" s="7">
        <v>5556413431</v>
      </c>
      <c r="G14" s="8">
        <v>46038</v>
      </c>
      <c r="H14" s="7">
        <v>151281559</v>
      </c>
      <c r="I14" s="7">
        <v>21483063</v>
      </c>
      <c r="J14" s="7" t="s">
        <v>147</v>
      </c>
      <c r="K14" s="7" t="s">
        <v>1457</v>
      </c>
      <c r="L14" s="7" t="s">
        <v>1153</v>
      </c>
      <c r="M14" s="7" t="s">
        <v>1152</v>
      </c>
      <c r="N14" s="7">
        <v>10000064</v>
      </c>
      <c r="O14" s="7" t="s">
        <v>28</v>
      </c>
      <c r="P14" s="7" t="s">
        <v>1151</v>
      </c>
      <c r="Q14" s="7">
        <v>326925</v>
      </c>
      <c r="R14" s="7" t="s">
        <v>1160</v>
      </c>
      <c r="S14" s="7" t="s">
        <v>1176</v>
      </c>
      <c r="T14" s="7">
        <v>1</v>
      </c>
      <c r="U14" s="7">
        <v>896</v>
      </c>
      <c r="V14" s="7">
        <v>1300</v>
      </c>
      <c r="W14" s="7">
        <v>11</v>
      </c>
      <c r="X14" s="7">
        <v>5626666827</v>
      </c>
      <c r="Y14" s="7">
        <v>5543753734</v>
      </c>
      <c r="Z14" s="7" t="s">
        <v>1456</v>
      </c>
      <c r="AA14" s="7" t="s">
        <v>1455</v>
      </c>
      <c r="AB14" s="7" t="s">
        <v>1187</v>
      </c>
      <c r="AC14" s="7">
        <v>19</v>
      </c>
    </row>
    <row r="15" spans="1:29" x14ac:dyDescent="0.45">
      <c r="A15" s="7">
        <v>710</v>
      </c>
      <c r="B15" s="7" t="s">
        <v>1156</v>
      </c>
      <c r="C15" s="7" t="s">
        <v>1155</v>
      </c>
      <c r="D15" s="7" t="s">
        <v>162</v>
      </c>
      <c r="E15" s="7" t="s">
        <v>39</v>
      </c>
      <c r="F15" s="7">
        <v>5558434222</v>
      </c>
      <c r="G15" s="8">
        <v>46111</v>
      </c>
      <c r="H15" s="7">
        <v>151428398</v>
      </c>
      <c r="I15" s="7">
        <v>23901714</v>
      </c>
      <c r="J15" s="7" t="s">
        <v>147</v>
      </c>
      <c r="K15" s="7" t="s">
        <v>1454</v>
      </c>
      <c r="L15" s="7" t="s">
        <v>1200</v>
      </c>
      <c r="M15" s="7" t="s">
        <v>1152</v>
      </c>
      <c r="N15" s="7">
        <v>10001013</v>
      </c>
      <c r="O15" s="7" t="s">
        <v>28</v>
      </c>
      <c r="P15" s="7" t="s">
        <v>1151</v>
      </c>
      <c r="Q15" s="7">
        <v>348467</v>
      </c>
      <c r="R15" s="7" t="s">
        <v>1160</v>
      </c>
      <c r="S15" s="7" t="s">
        <v>1149</v>
      </c>
      <c r="T15" s="7">
        <v>1</v>
      </c>
      <c r="U15" s="7">
        <v>1390</v>
      </c>
      <c r="V15" s="7">
        <v>0</v>
      </c>
      <c r="W15" s="7">
        <v>27</v>
      </c>
      <c r="X15" s="7">
        <v>5647678984</v>
      </c>
      <c r="Y15" s="7">
        <v>5647678984</v>
      </c>
      <c r="Z15" s="7" t="s">
        <v>1453</v>
      </c>
      <c r="AA15" s="7" t="s">
        <v>1452</v>
      </c>
      <c r="AB15" s="7" t="s">
        <v>1187</v>
      </c>
      <c r="AC15" s="7">
        <v>15</v>
      </c>
    </row>
    <row r="16" spans="1:29" x14ac:dyDescent="0.45">
      <c r="A16" s="7">
        <v>710</v>
      </c>
      <c r="B16" s="7" t="s">
        <v>1156</v>
      </c>
      <c r="C16" s="7" t="s">
        <v>1155</v>
      </c>
      <c r="D16" s="7" t="s">
        <v>150</v>
      </c>
      <c r="E16" s="7" t="s">
        <v>36</v>
      </c>
      <c r="F16" s="7">
        <v>5521563494</v>
      </c>
      <c r="G16" s="8">
        <v>46092</v>
      </c>
      <c r="H16" s="7">
        <v>151364539</v>
      </c>
      <c r="I16" s="7">
        <v>22500822</v>
      </c>
      <c r="J16" s="7" t="s">
        <v>147</v>
      </c>
      <c r="K16" s="7" t="s">
        <v>1451</v>
      </c>
      <c r="L16" s="7" t="s">
        <v>1153</v>
      </c>
      <c r="M16" s="7" t="s">
        <v>1152</v>
      </c>
      <c r="N16" s="7">
        <v>10001013</v>
      </c>
      <c r="O16" s="7" t="s">
        <v>28</v>
      </c>
      <c r="P16" s="7" t="s">
        <v>1151</v>
      </c>
      <c r="Q16" s="7">
        <v>348467</v>
      </c>
      <c r="R16" s="7" t="s">
        <v>1160</v>
      </c>
      <c r="S16" s="7" t="s">
        <v>1176</v>
      </c>
      <c r="T16" s="7">
        <v>1</v>
      </c>
      <c r="U16" s="7">
        <v>849</v>
      </c>
      <c r="V16" s="7">
        <v>0</v>
      </c>
      <c r="W16" s="7">
        <v>5</v>
      </c>
      <c r="X16" s="7">
        <v>5546831566</v>
      </c>
      <c r="Y16" s="7">
        <v>5544815083</v>
      </c>
      <c r="Z16" s="7" t="s">
        <v>1450</v>
      </c>
      <c r="AA16" s="7" t="s">
        <v>1449</v>
      </c>
      <c r="AB16" s="7" t="s">
        <v>1227</v>
      </c>
      <c r="AC16" s="7">
        <v>23</v>
      </c>
    </row>
    <row r="17" spans="1:29" x14ac:dyDescent="0.45">
      <c r="A17" s="7">
        <v>710</v>
      </c>
      <c r="B17" s="7" t="s">
        <v>1156</v>
      </c>
      <c r="C17" s="7" t="s">
        <v>1155</v>
      </c>
      <c r="D17" s="7" t="s">
        <v>150</v>
      </c>
      <c r="E17" s="7" t="s">
        <v>42</v>
      </c>
      <c r="F17" s="7">
        <v>5559495884</v>
      </c>
      <c r="G17" s="8">
        <v>46025</v>
      </c>
      <c r="H17" s="7">
        <v>151268190</v>
      </c>
      <c r="I17" s="7">
        <v>21305034</v>
      </c>
      <c r="J17" s="7" t="s">
        <v>147</v>
      </c>
      <c r="K17" s="7" t="s">
        <v>1448</v>
      </c>
      <c r="L17" s="7" t="s">
        <v>1153</v>
      </c>
      <c r="M17" s="7" t="s">
        <v>1152</v>
      </c>
      <c r="N17" s="7">
        <v>10000064</v>
      </c>
      <c r="O17" s="7" t="s">
        <v>28</v>
      </c>
      <c r="P17" s="7" t="s">
        <v>1151</v>
      </c>
      <c r="Q17" s="7">
        <v>344157</v>
      </c>
      <c r="R17" s="7" t="s">
        <v>1160</v>
      </c>
      <c r="S17" s="7" t="s">
        <v>1149</v>
      </c>
      <c r="T17" s="7">
        <v>4</v>
      </c>
      <c r="U17" s="7">
        <v>1565</v>
      </c>
      <c r="V17" s="7">
        <v>0</v>
      </c>
      <c r="W17" s="7">
        <v>30</v>
      </c>
      <c r="X17" s="7">
        <v>5551450717</v>
      </c>
      <c r="Y17" s="7">
        <v>5619116786</v>
      </c>
      <c r="Z17" s="7" t="s">
        <v>1447</v>
      </c>
      <c r="AA17" s="7" t="s">
        <v>1446</v>
      </c>
      <c r="AB17" s="7" t="s">
        <v>1216</v>
      </c>
      <c r="AC17" s="7">
        <v>19</v>
      </c>
    </row>
    <row r="18" spans="1:29" x14ac:dyDescent="0.45">
      <c r="A18" s="7">
        <v>710</v>
      </c>
      <c r="B18" s="7" t="s">
        <v>1156</v>
      </c>
      <c r="C18" s="7" t="s">
        <v>1155</v>
      </c>
      <c r="D18" s="7" t="s">
        <v>162</v>
      </c>
      <c r="E18" s="7" t="s">
        <v>62</v>
      </c>
      <c r="F18" s="7">
        <v>5592769414</v>
      </c>
      <c r="G18" s="8">
        <v>46046</v>
      </c>
      <c r="H18" s="7">
        <v>151310699</v>
      </c>
      <c r="I18" s="7">
        <v>21893011</v>
      </c>
      <c r="J18" s="7" t="s">
        <v>147</v>
      </c>
      <c r="K18" s="7" t="s">
        <v>1445</v>
      </c>
      <c r="L18" s="7" t="s">
        <v>1444</v>
      </c>
      <c r="M18" s="7" t="s">
        <v>144</v>
      </c>
      <c r="N18" s="7">
        <v>10001013</v>
      </c>
      <c r="O18" s="7" t="s">
        <v>28</v>
      </c>
      <c r="P18" s="7" t="s">
        <v>1151</v>
      </c>
      <c r="Q18" s="7">
        <v>325078</v>
      </c>
      <c r="R18" s="7" t="s">
        <v>1160</v>
      </c>
      <c r="S18" s="7" t="s">
        <v>1149</v>
      </c>
      <c r="T18" s="7">
        <v>3</v>
      </c>
      <c r="U18" s="7">
        <v>1537</v>
      </c>
      <c r="V18" s="7">
        <v>0</v>
      </c>
      <c r="W18" s="7">
        <v>20</v>
      </c>
      <c r="X18" s="7">
        <v>5585766399</v>
      </c>
      <c r="Y18" s="7">
        <v>5621736861</v>
      </c>
      <c r="Z18" s="7" t="s">
        <v>1443</v>
      </c>
      <c r="AA18" s="7" t="s">
        <v>1442</v>
      </c>
      <c r="AB18" s="7"/>
      <c r="AC18" s="7"/>
    </row>
    <row r="19" spans="1:29" x14ac:dyDescent="0.45">
      <c r="A19" s="7">
        <v>710</v>
      </c>
      <c r="B19" s="7" t="s">
        <v>1156</v>
      </c>
      <c r="C19" s="7" t="s">
        <v>1155</v>
      </c>
      <c r="D19" s="7" t="s">
        <v>150</v>
      </c>
      <c r="E19" s="7" t="s">
        <v>42</v>
      </c>
      <c r="F19" s="7">
        <v>5524605274</v>
      </c>
      <c r="G19" s="8">
        <v>46045</v>
      </c>
      <c r="H19" s="7">
        <v>151311461</v>
      </c>
      <c r="I19" s="7">
        <v>21896851</v>
      </c>
      <c r="J19" s="7" t="s">
        <v>147</v>
      </c>
      <c r="K19" s="7" t="s">
        <v>1441</v>
      </c>
      <c r="L19" s="7" t="s">
        <v>1153</v>
      </c>
      <c r="M19" s="7" t="s">
        <v>1152</v>
      </c>
      <c r="N19" s="7">
        <v>10000064</v>
      </c>
      <c r="O19" s="7" t="s">
        <v>28</v>
      </c>
      <c r="P19" s="7" t="s">
        <v>1151</v>
      </c>
      <c r="Q19" s="7">
        <v>346072</v>
      </c>
      <c r="R19" s="7" t="s">
        <v>1160</v>
      </c>
      <c r="S19" s="7" t="s">
        <v>1176</v>
      </c>
      <c r="T19" s="7">
        <v>3</v>
      </c>
      <c r="U19" s="7">
        <v>2096</v>
      </c>
      <c r="V19" s="7">
        <v>0</v>
      </c>
      <c r="W19" s="7">
        <v>18</v>
      </c>
      <c r="X19" s="7">
        <v>5521564252</v>
      </c>
      <c r="Y19" s="7">
        <v>5534183545</v>
      </c>
      <c r="Z19" s="7" t="s">
        <v>1440</v>
      </c>
      <c r="AA19" s="7" t="s">
        <v>1439</v>
      </c>
      <c r="AB19" s="7" t="s">
        <v>1258</v>
      </c>
      <c r="AC19" s="7">
        <v>21</v>
      </c>
    </row>
    <row r="20" spans="1:29" x14ac:dyDescent="0.45">
      <c r="A20" s="7">
        <v>710</v>
      </c>
      <c r="B20" s="7" t="s">
        <v>1156</v>
      </c>
      <c r="C20" s="7" t="s">
        <v>1155</v>
      </c>
      <c r="D20" s="7" t="s">
        <v>150</v>
      </c>
      <c r="E20" s="7" t="s">
        <v>36</v>
      </c>
      <c r="F20" s="7">
        <v>5559209854</v>
      </c>
      <c r="G20" s="8">
        <v>46065</v>
      </c>
      <c r="H20" s="7">
        <v>151340227</v>
      </c>
      <c r="I20" s="7">
        <v>22225190</v>
      </c>
      <c r="J20" s="7" t="s">
        <v>147</v>
      </c>
      <c r="K20" s="7" t="s">
        <v>1438</v>
      </c>
      <c r="L20" s="7" t="s">
        <v>1437</v>
      </c>
      <c r="M20" s="7" t="s">
        <v>1152</v>
      </c>
      <c r="N20" s="7">
        <v>10000064</v>
      </c>
      <c r="O20" s="7" t="s">
        <v>28</v>
      </c>
      <c r="P20" s="7" t="s">
        <v>1151</v>
      </c>
      <c r="Q20" s="7">
        <v>346126</v>
      </c>
      <c r="R20" s="7" t="s">
        <v>1160</v>
      </c>
      <c r="S20" s="7" t="s">
        <v>1176</v>
      </c>
      <c r="T20" s="7">
        <v>3</v>
      </c>
      <c r="U20" s="7">
        <v>949</v>
      </c>
      <c r="V20" s="7">
        <v>0</v>
      </c>
      <c r="W20" s="7">
        <v>5</v>
      </c>
      <c r="X20" s="7">
        <v>5620193196</v>
      </c>
      <c r="Y20" s="7">
        <v>5610495652</v>
      </c>
      <c r="Z20" s="7" t="s">
        <v>1436</v>
      </c>
      <c r="AA20" s="7" t="s">
        <v>1435</v>
      </c>
      <c r="AB20" s="7" t="s">
        <v>1216</v>
      </c>
      <c r="AC20" s="7">
        <v>15</v>
      </c>
    </row>
    <row r="21" spans="1:29" x14ac:dyDescent="0.45">
      <c r="A21" s="7">
        <v>710</v>
      </c>
      <c r="B21" s="7" t="s">
        <v>1156</v>
      </c>
      <c r="C21" s="7" t="s">
        <v>1155</v>
      </c>
      <c r="D21" s="7" t="s">
        <v>150</v>
      </c>
      <c r="E21" s="7" t="s">
        <v>42</v>
      </c>
      <c r="F21" s="7">
        <v>5556184940</v>
      </c>
      <c r="G21" s="8">
        <v>46118</v>
      </c>
      <c r="H21" s="7">
        <v>151440375</v>
      </c>
      <c r="I21" s="7">
        <v>24022834</v>
      </c>
      <c r="J21" s="7" t="s">
        <v>147</v>
      </c>
      <c r="K21" s="7" t="s">
        <v>1434</v>
      </c>
      <c r="L21" s="7"/>
      <c r="M21" s="7" t="s">
        <v>144</v>
      </c>
      <c r="N21" s="7">
        <v>10001013</v>
      </c>
      <c r="O21" s="7" t="s">
        <v>28</v>
      </c>
      <c r="P21" s="7" t="s">
        <v>1151</v>
      </c>
      <c r="Q21" s="7">
        <v>348467</v>
      </c>
      <c r="R21" s="7" t="s">
        <v>1160</v>
      </c>
      <c r="S21" s="7" t="s">
        <v>1213</v>
      </c>
      <c r="T21" s="7">
        <v>1</v>
      </c>
      <c r="U21" s="7">
        <v>1198</v>
      </c>
      <c r="V21" s="7">
        <v>0</v>
      </c>
      <c r="W21" s="7">
        <v>28</v>
      </c>
      <c r="X21" s="7">
        <v>0</v>
      </c>
      <c r="Y21" s="7">
        <v>5562329740</v>
      </c>
      <c r="Z21" s="7" t="s">
        <v>1433</v>
      </c>
      <c r="AA21" s="7"/>
      <c r="AB21" s="7"/>
      <c r="AC21" s="7"/>
    </row>
    <row r="22" spans="1:29" x14ac:dyDescent="0.45">
      <c r="A22" s="7">
        <v>710</v>
      </c>
      <c r="B22" s="7" t="s">
        <v>1156</v>
      </c>
      <c r="C22" s="7" t="s">
        <v>1155</v>
      </c>
      <c r="D22" s="7" t="s">
        <v>150</v>
      </c>
      <c r="E22" s="7" t="s">
        <v>31</v>
      </c>
      <c r="F22" s="7">
        <v>5524603795</v>
      </c>
      <c r="G22" s="8">
        <v>46093</v>
      </c>
      <c r="H22" s="7">
        <v>151396770</v>
      </c>
      <c r="I22" s="7">
        <v>22935569</v>
      </c>
      <c r="J22" s="7" t="s">
        <v>147</v>
      </c>
      <c r="K22" s="7" t="s">
        <v>1432</v>
      </c>
      <c r="L22" s="7" t="s">
        <v>1205</v>
      </c>
      <c r="M22" s="7" t="s">
        <v>1152</v>
      </c>
      <c r="N22" s="7">
        <v>10000064</v>
      </c>
      <c r="O22" s="7" t="s">
        <v>28</v>
      </c>
      <c r="P22" s="7" t="s">
        <v>1151</v>
      </c>
      <c r="Q22" s="7">
        <v>350703</v>
      </c>
      <c r="R22" s="7" t="s">
        <v>1160</v>
      </c>
      <c r="S22" s="7" t="s">
        <v>1149</v>
      </c>
      <c r="T22" s="7">
        <v>1</v>
      </c>
      <c r="U22" s="7">
        <v>1372</v>
      </c>
      <c r="V22" s="7">
        <v>0</v>
      </c>
      <c r="W22" s="7">
        <v>7</v>
      </c>
      <c r="X22" s="7">
        <v>5593884153</v>
      </c>
      <c r="Y22" s="7">
        <v>5565435579</v>
      </c>
      <c r="Z22" s="7" t="s">
        <v>1431</v>
      </c>
      <c r="AA22" s="7" t="s">
        <v>1430</v>
      </c>
      <c r="AB22" s="7" t="s">
        <v>1183</v>
      </c>
      <c r="AC22" s="7">
        <v>3</v>
      </c>
    </row>
    <row r="23" spans="1:29" x14ac:dyDescent="0.45">
      <c r="A23" s="7">
        <v>710</v>
      </c>
      <c r="B23" s="7" t="s">
        <v>1156</v>
      </c>
      <c r="C23" s="7" t="s">
        <v>1155</v>
      </c>
      <c r="D23" s="7" t="s">
        <v>150</v>
      </c>
      <c r="E23" s="7" t="s">
        <v>61</v>
      </c>
      <c r="F23" s="7">
        <v>5558628679</v>
      </c>
      <c r="G23" s="8">
        <v>46091</v>
      </c>
      <c r="H23" s="7">
        <v>151393793</v>
      </c>
      <c r="I23" s="7">
        <v>22885260</v>
      </c>
      <c r="J23" s="7" t="s">
        <v>147</v>
      </c>
      <c r="K23" s="7" t="s">
        <v>1429</v>
      </c>
      <c r="L23" s="7" t="s">
        <v>1428</v>
      </c>
      <c r="M23" s="7" t="s">
        <v>1152</v>
      </c>
      <c r="N23" s="7">
        <v>10000064</v>
      </c>
      <c r="O23" s="7" t="s">
        <v>28</v>
      </c>
      <c r="P23" s="7" t="s">
        <v>1151</v>
      </c>
      <c r="Q23" s="7">
        <v>350703</v>
      </c>
      <c r="R23" s="7" t="s">
        <v>1160</v>
      </c>
      <c r="S23" s="7" t="s">
        <v>1149</v>
      </c>
      <c r="T23" s="7">
        <v>1</v>
      </c>
      <c r="U23" s="7">
        <v>978</v>
      </c>
      <c r="V23" s="7">
        <v>795</v>
      </c>
      <c r="W23" s="7">
        <v>5</v>
      </c>
      <c r="X23" s="7">
        <v>5544367897</v>
      </c>
      <c r="Y23" s="7">
        <v>5544731194</v>
      </c>
      <c r="Z23" s="7" t="s">
        <v>1427</v>
      </c>
      <c r="AA23" s="7"/>
      <c r="AB23" s="7" t="s">
        <v>1183</v>
      </c>
      <c r="AC23" s="7">
        <v>19</v>
      </c>
    </row>
    <row r="24" spans="1:29" x14ac:dyDescent="0.45">
      <c r="A24" s="7">
        <v>710</v>
      </c>
      <c r="B24" s="7" t="s">
        <v>1156</v>
      </c>
      <c r="C24" s="7" t="s">
        <v>1155</v>
      </c>
      <c r="D24" s="7" t="s">
        <v>150</v>
      </c>
      <c r="E24" s="7" t="s">
        <v>31</v>
      </c>
      <c r="F24" s="7">
        <v>5581646651</v>
      </c>
      <c r="G24" s="8">
        <v>46028</v>
      </c>
      <c r="H24" s="7">
        <v>151273163</v>
      </c>
      <c r="I24" s="7">
        <v>21402994</v>
      </c>
      <c r="J24" s="7" t="s">
        <v>147</v>
      </c>
      <c r="K24" s="7" t="s">
        <v>1426</v>
      </c>
      <c r="L24" s="7" t="s">
        <v>1205</v>
      </c>
      <c r="M24" s="7" t="s">
        <v>1152</v>
      </c>
      <c r="N24" s="7">
        <v>10001013</v>
      </c>
      <c r="O24" s="7" t="s">
        <v>28</v>
      </c>
      <c r="P24" s="7" t="s">
        <v>1151</v>
      </c>
      <c r="Q24" s="7">
        <v>325078</v>
      </c>
      <c r="R24" s="7" t="s">
        <v>1160</v>
      </c>
      <c r="S24" s="7" t="s">
        <v>1213</v>
      </c>
      <c r="T24" s="7">
        <v>4</v>
      </c>
      <c r="U24" s="7">
        <v>1098</v>
      </c>
      <c r="V24" s="7">
        <v>0</v>
      </c>
      <c r="W24" s="7">
        <v>3</v>
      </c>
      <c r="X24" s="7">
        <v>5585701646</v>
      </c>
      <c r="Y24" s="7">
        <v>5583400687</v>
      </c>
      <c r="Z24" s="7" t="s">
        <v>1425</v>
      </c>
      <c r="AA24" s="7" t="s">
        <v>1424</v>
      </c>
      <c r="AB24" s="7" t="s">
        <v>1258</v>
      </c>
      <c r="AC24" s="7">
        <v>20</v>
      </c>
    </row>
    <row r="25" spans="1:29" x14ac:dyDescent="0.45">
      <c r="A25" s="7">
        <v>710</v>
      </c>
      <c r="B25" s="7" t="s">
        <v>1156</v>
      </c>
      <c r="C25" s="7" t="s">
        <v>1155</v>
      </c>
      <c r="D25" s="7" t="s">
        <v>150</v>
      </c>
      <c r="E25" s="7" t="s">
        <v>42</v>
      </c>
      <c r="F25" s="7">
        <v>5515606962</v>
      </c>
      <c r="G25" s="8">
        <v>46092</v>
      </c>
      <c r="H25" s="7">
        <v>151396798</v>
      </c>
      <c r="I25" s="7">
        <v>22936702</v>
      </c>
      <c r="J25" s="7" t="s">
        <v>1173</v>
      </c>
      <c r="K25" s="7" t="s">
        <v>1423</v>
      </c>
      <c r="L25" s="7" t="s">
        <v>1153</v>
      </c>
      <c r="M25" s="7" t="s">
        <v>1152</v>
      </c>
      <c r="N25" s="7">
        <v>10000064</v>
      </c>
      <c r="O25" s="7" t="s">
        <v>28</v>
      </c>
      <c r="P25" s="7" t="s">
        <v>1151</v>
      </c>
      <c r="Q25" s="7">
        <v>350703</v>
      </c>
      <c r="R25" s="7" t="s">
        <v>1160</v>
      </c>
      <c r="S25" s="7" t="s">
        <v>1190</v>
      </c>
      <c r="T25" s="7">
        <v>1</v>
      </c>
      <c r="U25" s="7">
        <v>899</v>
      </c>
      <c r="V25" s="7">
        <v>0</v>
      </c>
      <c r="W25" s="7">
        <v>5</v>
      </c>
      <c r="X25" s="7">
        <v>5548351700</v>
      </c>
      <c r="Y25" s="7">
        <v>5538596111</v>
      </c>
      <c r="Z25" s="7" t="s">
        <v>1422</v>
      </c>
      <c r="AA25" s="7" t="s">
        <v>1421</v>
      </c>
      <c r="AB25" s="7" t="s">
        <v>1227</v>
      </c>
      <c r="AC25" s="7">
        <v>23</v>
      </c>
    </row>
    <row r="26" spans="1:29" x14ac:dyDescent="0.45">
      <c r="A26" s="7">
        <v>710</v>
      </c>
      <c r="B26" s="7" t="s">
        <v>1156</v>
      </c>
      <c r="C26" s="7" t="s">
        <v>1155</v>
      </c>
      <c r="D26" s="7" t="s">
        <v>150</v>
      </c>
      <c r="E26" s="7" t="s">
        <v>42</v>
      </c>
      <c r="F26" s="7">
        <v>5556538598</v>
      </c>
      <c r="G26" s="8">
        <v>46118</v>
      </c>
      <c r="H26" s="7">
        <v>151437578</v>
      </c>
      <c r="I26" s="7">
        <v>24022053</v>
      </c>
      <c r="J26" s="7" t="s">
        <v>147</v>
      </c>
      <c r="K26" s="7" t="s">
        <v>1420</v>
      </c>
      <c r="L26" s="7" t="s">
        <v>1153</v>
      </c>
      <c r="M26" s="7" t="s">
        <v>1152</v>
      </c>
      <c r="N26" s="7">
        <v>10000064</v>
      </c>
      <c r="O26" s="7" t="s">
        <v>28</v>
      </c>
      <c r="P26" s="7" t="s">
        <v>1151</v>
      </c>
      <c r="Q26" s="7">
        <v>348485</v>
      </c>
      <c r="R26" s="7" t="s">
        <v>1150</v>
      </c>
      <c r="S26" s="7" t="s">
        <v>1149</v>
      </c>
      <c r="T26" s="7">
        <v>1</v>
      </c>
      <c r="U26" s="7">
        <v>1346</v>
      </c>
      <c r="V26" s="7">
        <v>0</v>
      </c>
      <c r="W26" s="7">
        <v>28</v>
      </c>
      <c r="X26" s="7">
        <v>5521940593</v>
      </c>
      <c r="Y26" s="7">
        <v>5632501936</v>
      </c>
      <c r="Z26" s="7" t="s">
        <v>1419</v>
      </c>
      <c r="AA26" s="7" t="s">
        <v>1418</v>
      </c>
      <c r="AB26" s="7" t="s">
        <v>1187</v>
      </c>
      <c r="AC26" s="7">
        <v>18</v>
      </c>
    </row>
    <row r="27" spans="1:29" x14ac:dyDescent="0.45">
      <c r="A27" s="7">
        <v>710</v>
      </c>
      <c r="B27" s="7" t="s">
        <v>1156</v>
      </c>
      <c r="C27" s="7" t="s">
        <v>1155</v>
      </c>
      <c r="D27" s="7" t="s">
        <v>162</v>
      </c>
      <c r="E27" s="7" t="s">
        <v>39</v>
      </c>
      <c r="F27" s="7">
        <v>5526073993</v>
      </c>
      <c r="G27" s="8">
        <v>46059</v>
      </c>
      <c r="H27" s="7">
        <v>151326581</v>
      </c>
      <c r="I27" s="7">
        <v>22106183</v>
      </c>
      <c r="J27" s="7" t="s">
        <v>147</v>
      </c>
      <c r="K27" s="7" t="s">
        <v>1417</v>
      </c>
      <c r="L27" s="7" t="s">
        <v>1161</v>
      </c>
      <c r="M27" s="7" t="s">
        <v>1152</v>
      </c>
      <c r="N27" s="7">
        <v>10000064</v>
      </c>
      <c r="O27" s="7" t="s">
        <v>28</v>
      </c>
      <c r="P27" s="7" t="s">
        <v>1151</v>
      </c>
      <c r="Q27" s="7">
        <v>346196</v>
      </c>
      <c r="R27" s="7" t="s">
        <v>1160</v>
      </c>
      <c r="S27" s="7" t="s">
        <v>1149</v>
      </c>
      <c r="T27" s="7">
        <v>1</v>
      </c>
      <c r="U27" s="7">
        <v>878</v>
      </c>
      <c r="V27" s="7">
        <v>1344</v>
      </c>
      <c r="W27" s="7">
        <v>2</v>
      </c>
      <c r="X27" s="7">
        <v>5541747667</v>
      </c>
      <c r="Y27" s="7">
        <v>5530414953</v>
      </c>
      <c r="Z27" s="7" t="s">
        <v>1416</v>
      </c>
      <c r="AA27" s="7" t="s">
        <v>1415</v>
      </c>
      <c r="AB27" s="7" t="s">
        <v>1183</v>
      </c>
      <c r="AC27" s="7">
        <v>23</v>
      </c>
    </row>
    <row r="28" spans="1:29" x14ac:dyDescent="0.45">
      <c r="A28" s="7">
        <v>710</v>
      </c>
      <c r="B28" s="7" t="s">
        <v>1156</v>
      </c>
      <c r="C28" s="7" t="s">
        <v>1155</v>
      </c>
      <c r="D28" s="7" t="s">
        <v>150</v>
      </c>
      <c r="E28" s="7" t="s">
        <v>42</v>
      </c>
      <c r="F28" s="7">
        <v>5556068356</v>
      </c>
      <c r="G28" s="8">
        <v>46042</v>
      </c>
      <c r="H28" s="7">
        <v>151304953</v>
      </c>
      <c r="I28" s="7">
        <v>21824208</v>
      </c>
      <c r="J28" s="7" t="s">
        <v>147</v>
      </c>
      <c r="K28" s="7" t="s">
        <v>1414</v>
      </c>
      <c r="L28" s="7" t="s">
        <v>1241</v>
      </c>
      <c r="M28" s="7" t="s">
        <v>1152</v>
      </c>
      <c r="N28" s="7">
        <v>10000064</v>
      </c>
      <c r="O28" s="7" t="s">
        <v>28</v>
      </c>
      <c r="P28" s="7" t="s">
        <v>1151</v>
      </c>
      <c r="Q28" s="7">
        <v>346072</v>
      </c>
      <c r="R28" s="7" t="s">
        <v>1160</v>
      </c>
      <c r="S28" s="7" t="s">
        <v>1149</v>
      </c>
      <c r="T28" s="7">
        <v>3</v>
      </c>
      <c r="U28" s="7">
        <v>1095</v>
      </c>
      <c r="V28" s="7">
        <v>0</v>
      </c>
      <c r="W28" s="7">
        <v>17</v>
      </c>
      <c r="X28" s="7">
        <v>5665238960</v>
      </c>
      <c r="Y28" s="7">
        <v>5657775852</v>
      </c>
      <c r="Z28" s="7" t="s">
        <v>1413</v>
      </c>
      <c r="AA28" s="7" t="s">
        <v>1412</v>
      </c>
      <c r="AB28" s="7" t="s">
        <v>1258</v>
      </c>
      <c r="AC28" s="7">
        <v>7</v>
      </c>
    </row>
    <row r="29" spans="1:29" x14ac:dyDescent="0.45">
      <c r="A29" s="7">
        <v>710</v>
      </c>
      <c r="B29" s="7" t="s">
        <v>1156</v>
      </c>
      <c r="C29" s="7" t="s">
        <v>1155</v>
      </c>
      <c r="D29" s="7" t="s">
        <v>150</v>
      </c>
      <c r="E29" s="7" t="s">
        <v>42</v>
      </c>
      <c r="F29" s="7">
        <v>5550386441</v>
      </c>
      <c r="G29" s="8">
        <v>46094</v>
      </c>
      <c r="H29" s="7">
        <v>151397079</v>
      </c>
      <c r="I29" s="7">
        <v>22930703</v>
      </c>
      <c r="J29" s="7" t="s">
        <v>147</v>
      </c>
      <c r="K29" s="7" t="s">
        <v>1411</v>
      </c>
      <c r="L29" s="7" t="s">
        <v>1153</v>
      </c>
      <c r="M29" s="7" t="s">
        <v>1152</v>
      </c>
      <c r="N29" s="7">
        <v>10000064</v>
      </c>
      <c r="O29" s="7" t="s">
        <v>28</v>
      </c>
      <c r="P29" s="7" t="s">
        <v>1151</v>
      </c>
      <c r="Q29" s="7">
        <v>348485</v>
      </c>
      <c r="R29" s="7" t="s">
        <v>1150</v>
      </c>
      <c r="S29" s="7" t="s">
        <v>1213</v>
      </c>
      <c r="T29" s="7">
        <v>1</v>
      </c>
      <c r="U29" s="7">
        <v>449</v>
      </c>
      <c r="V29" s="7">
        <v>749</v>
      </c>
      <c r="W29" s="7">
        <v>7</v>
      </c>
      <c r="X29" s="7">
        <v>5511182530</v>
      </c>
      <c r="Y29" s="7">
        <v>5511182530</v>
      </c>
      <c r="Z29" s="7" t="s">
        <v>1410</v>
      </c>
      <c r="AA29" s="7" t="s">
        <v>1409</v>
      </c>
      <c r="AB29" s="7" t="s">
        <v>1266</v>
      </c>
      <c r="AC29" s="7">
        <v>23</v>
      </c>
    </row>
    <row r="30" spans="1:29" x14ac:dyDescent="0.45">
      <c r="A30" s="7">
        <v>710</v>
      </c>
      <c r="B30" s="7" t="s">
        <v>1156</v>
      </c>
      <c r="C30" s="7" t="s">
        <v>1155</v>
      </c>
      <c r="D30" s="7" t="s">
        <v>162</v>
      </c>
      <c r="E30" s="7" t="s">
        <v>55</v>
      </c>
      <c r="F30" s="7">
        <v>5517161744</v>
      </c>
      <c r="G30" s="8">
        <v>46079</v>
      </c>
      <c r="H30" s="7">
        <v>151373250</v>
      </c>
      <c r="I30" s="7">
        <v>22598540</v>
      </c>
      <c r="J30" s="7" t="s">
        <v>147</v>
      </c>
      <c r="K30" s="7" t="s">
        <v>1408</v>
      </c>
      <c r="L30" s="7" t="s">
        <v>1246</v>
      </c>
      <c r="M30" s="7" t="s">
        <v>1152</v>
      </c>
      <c r="N30" s="7">
        <v>10000064</v>
      </c>
      <c r="O30" s="7" t="s">
        <v>28</v>
      </c>
      <c r="P30" s="7" t="s">
        <v>1151</v>
      </c>
      <c r="Q30" s="7">
        <v>346126</v>
      </c>
      <c r="R30" s="7" t="s">
        <v>1160</v>
      </c>
      <c r="S30" s="7" t="s">
        <v>1149</v>
      </c>
      <c r="T30" s="7">
        <v>1</v>
      </c>
      <c r="U30" s="7">
        <v>978</v>
      </c>
      <c r="V30" s="7">
        <v>909</v>
      </c>
      <c r="W30" s="7">
        <v>23</v>
      </c>
      <c r="X30" s="7">
        <v>5520677092</v>
      </c>
      <c r="Y30" s="7">
        <v>5541281791</v>
      </c>
      <c r="Z30" s="7" t="s">
        <v>1407</v>
      </c>
      <c r="AA30" s="7" t="s">
        <v>1406</v>
      </c>
      <c r="AB30" s="7" t="s">
        <v>1227</v>
      </c>
      <c r="AC30" s="7">
        <v>23</v>
      </c>
    </row>
    <row r="31" spans="1:29" x14ac:dyDescent="0.45">
      <c r="A31" s="7">
        <v>710</v>
      </c>
      <c r="B31" s="7" t="s">
        <v>1156</v>
      </c>
      <c r="C31" s="7" t="s">
        <v>1155</v>
      </c>
      <c r="D31" s="7" t="s">
        <v>162</v>
      </c>
      <c r="E31" s="7" t="s">
        <v>39</v>
      </c>
      <c r="F31" s="7">
        <v>5558591014</v>
      </c>
      <c r="G31" s="8">
        <v>46113</v>
      </c>
      <c r="H31" s="7">
        <v>151436375</v>
      </c>
      <c r="I31" s="7">
        <v>23983232</v>
      </c>
      <c r="J31" s="7" t="s">
        <v>147</v>
      </c>
      <c r="K31" s="7" t="s">
        <v>1405</v>
      </c>
      <c r="L31" s="7"/>
      <c r="M31" s="7" t="s">
        <v>1152</v>
      </c>
      <c r="N31" s="7">
        <v>10000064</v>
      </c>
      <c r="O31" s="7" t="s">
        <v>28</v>
      </c>
      <c r="P31" s="7" t="s">
        <v>1151</v>
      </c>
      <c r="Q31" s="7">
        <v>352529</v>
      </c>
      <c r="R31" s="7" t="s">
        <v>1150</v>
      </c>
      <c r="S31" s="7" t="s">
        <v>1149</v>
      </c>
      <c r="T31" s="7">
        <v>1</v>
      </c>
      <c r="U31" s="7">
        <v>1378</v>
      </c>
      <c r="V31" s="7">
        <v>0</v>
      </c>
      <c r="W31" s="7">
        <v>27</v>
      </c>
      <c r="X31" s="7">
        <v>5641040922</v>
      </c>
      <c r="Y31" s="7">
        <v>5659728309</v>
      </c>
      <c r="Z31" s="7" t="s">
        <v>1404</v>
      </c>
      <c r="AA31" s="7"/>
      <c r="AB31" s="7" t="s">
        <v>1167</v>
      </c>
      <c r="AC31" s="7">
        <v>0</v>
      </c>
    </row>
    <row r="32" spans="1:29" x14ac:dyDescent="0.45">
      <c r="A32" s="7">
        <v>710</v>
      </c>
      <c r="B32" s="7" t="s">
        <v>1156</v>
      </c>
      <c r="C32" s="7" t="s">
        <v>1155</v>
      </c>
      <c r="D32" s="7" t="s">
        <v>150</v>
      </c>
      <c r="E32" s="7" t="s">
        <v>42</v>
      </c>
      <c r="F32" s="7">
        <v>5556182777</v>
      </c>
      <c r="G32" s="8">
        <v>46084</v>
      </c>
      <c r="H32" s="7">
        <v>151371022</v>
      </c>
      <c r="I32" s="7">
        <v>22581180</v>
      </c>
      <c r="J32" s="7" t="s">
        <v>147</v>
      </c>
      <c r="K32" s="7" t="s">
        <v>1403</v>
      </c>
      <c r="L32" s="7" t="s">
        <v>1165</v>
      </c>
      <c r="M32" s="7" t="s">
        <v>1152</v>
      </c>
      <c r="N32" s="7">
        <v>10001013</v>
      </c>
      <c r="O32" s="7" t="s">
        <v>28</v>
      </c>
      <c r="P32" s="7" t="s">
        <v>1151</v>
      </c>
      <c r="Q32" s="7">
        <v>348467</v>
      </c>
      <c r="R32" s="7" t="s">
        <v>1160</v>
      </c>
      <c r="S32" s="7" t="s">
        <v>1149</v>
      </c>
      <c r="T32" s="7">
        <v>2</v>
      </c>
      <c r="U32" s="7">
        <v>1154</v>
      </c>
      <c r="V32" s="7">
        <v>0</v>
      </c>
      <c r="W32" s="7">
        <v>30</v>
      </c>
      <c r="X32" s="7">
        <v>5514818976</v>
      </c>
      <c r="Y32" s="7">
        <v>5514818976</v>
      </c>
      <c r="Z32" s="7" t="s">
        <v>1402</v>
      </c>
      <c r="AA32" s="7" t="s">
        <v>1401</v>
      </c>
      <c r="AB32" s="7"/>
      <c r="AC32" s="7"/>
    </row>
    <row r="33" spans="1:29" x14ac:dyDescent="0.45">
      <c r="A33" s="7">
        <v>710</v>
      </c>
      <c r="B33" s="7" t="s">
        <v>1156</v>
      </c>
      <c r="C33" s="7" t="s">
        <v>1155</v>
      </c>
      <c r="D33" s="7" t="s">
        <v>162</v>
      </c>
      <c r="E33" s="7" t="s">
        <v>39</v>
      </c>
      <c r="F33" s="7">
        <v>5528680995</v>
      </c>
      <c r="G33" s="8">
        <v>46058</v>
      </c>
      <c r="H33" s="7">
        <v>151324496</v>
      </c>
      <c r="I33" s="7">
        <v>22046750</v>
      </c>
      <c r="J33" s="7" t="s">
        <v>147</v>
      </c>
      <c r="K33" s="7" t="s">
        <v>1400</v>
      </c>
      <c r="L33" s="7" t="s">
        <v>1200</v>
      </c>
      <c r="M33" s="7" t="s">
        <v>1152</v>
      </c>
      <c r="N33" s="7">
        <v>10000064</v>
      </c>
      <c r="O33" s="7" t="s">
        <v>28</v>
      </c>
      <c r="P33" s="7" t="s">
        <v>1151</v>
      </c>
      <c r="Q33" s="7">
        <v>346196</v>
      </c>
      <c r="R33" s="7" t="s">
        <v>1160</v>
      </c>
      <c r="S33" s="7" t="s">
        <v>1149</v>
      </c>
      <c r="T33" s="7">
        <v>2</v>
      </c>
      <c r="U33" s="7">
        <v>1249</v>
      </c>
      <c r="V33" s="7">
        <v>0</v>
      </c>
      <c r="W33" s="7">
        <v>30</v>
      </c>
      <c r="X33" s="7">
        <v>5662525638</v>
      </c>
      <c r="Y33" s="7">
        <v>5612030166</v>
      </c>
      <c r="Z33" s="7" t="s">
        <v>1399</v>
      </c>
      <c r="AA33" s="7" t="s">
        <v>1398</v>
      </c>
      <c r="AB33" s="7" t="s">
        <v>1258</v>
      </c>
      <c r="AC33" s="7">
        <v>14</v>
      </c>
    </row>
    <row r="34" spans="1:29" x14ac:dyDescent="0.45">
      <c r="A34" s="7">
        <v>710</v>
      </c>
      <c r="B34" s="7" t="s">
        <v>1156</v>
      </c>
      <c r="C34" s="7" t="s">
        <v>1155</v>
      </c>
      <c r="D34" s="7" t="s">
        <v>150</v>
      </c>
      <c r="E34" s="7" t="s">
        <v>42</v>
      </c>
      <c r="F34" s="7">
        <v>5526157842</v>
      </c>
      <c r="G34" s="8">
        <v>46094</v>
      </c>
      <c r="H34" s="7">
        <v>151401517</v>
      </c>
      <c r="I34" s="7">
        <v>22994224</v>
      </c>
      <c r="J34" s="7" t="s">
        <v>147</v>
      </c>
      <c r="K34" s="7" t="s">
        <v>1397</v>
      </c>
      <c r="L34" s="7" t="s">
        <v>1241</v>
      </c>
      <c r="M34" s="7" t="s">
        <v>1152</v>
      </c>
      <c r="N34" s="7">
        <v>10001013</v>
      </c>
      <c r="O34" s="7" t="s">
        <v>28</v>
      </c>
      <c r="P34" s="7" t="s">
        <v>1151</v>
      </c>
      <c r="Q34" s="7">
        <v>350677</v>
      </c>
      <c r="R34" s="7" t="s">
        <v>1160</v>
      </c>
      <c r="S34" s="7" t="s">
        <v>1213</v>
      </c>
      <c r="T34" s="7">
        <v>1</v>
      </c>
      <c r="U34" s="7">
        <v>1298</v>
      </c>
      <c r="V34" s="7">
        <v>0</v>
      </c>
      <c r="W34" s="7">
        <v>7</v>
      </c>
      <c r="X34" s="7">
        <v>5615808500</v>
      </c>
      <c r="Y34" s="7">
        <v>5615808500</v>
      </c>
      <c r="Z34" s="7" t="s">
        <v>1396</v>
      </c>
      <c r="AA34" s="7" t="s">
        <v>1395</v>
      </c>
      <c r="AB34" s="7" t="s">
        <v>1192</v>
      </c>
      <c r="AC34" s="7">
        <v>15</v>
      </c>
    </row>
    <row r="35" spans="1:29" x14ac:dyDescent="0.45">
      <c r="A35" s="7">
        <v>710</v>
      </c>
      <c r="B35" s="7" t="s">
        <v>1156</v>
      </c>
      <c r="C35" s="7" t="s">
        <v>1155</v>
      </c>
      <c r="D35" s="7" t="s">
        <v>162</v>
      </c>
      <c r="E35" s="7" t="s">
        <v>62</v>
      </c>
      <c r="F35" s="7">
        <v>5522880404</v>
      </c>
      <c r="G35" s="8">
        <v>46056</v>
      </c>
      <c r="H35" s="7">
        <v>151328620</v>
      </c>
      <c r="I35" s="7">
        <v>22086813</v>
      </c>
      <c r="J35" s="7" t="s">
        <v>1173</v>
      </c>
      <c r="K35" s="7" t="s">
        <v>1394</v>
      </c>
      <c r="L35" s="7" t="s">
        <v>1299</v>
      </c>
      <c r="M35" s="7" t="s">
        <v>1152</v>
      </c>
      <c r="N35" s="7">
        <v>10001013</v>
      </c>
      <c r="O35" s="7" t="s">
        <v>28</v>
      </c>
      <c r="P35" s="7" t="s">
        <v>1151</v>
      </c>
      <c r="Q35" s="7">
        <v>345495</v>
      </c>
      <c r="R35" s="7" t="s">
        <v>1160</v>
      </c>
      <c r="S35" s="7" t="s">
        <v>1240</v>
      </c>
      <c r="T35" s="7">
        <v>3</v>
      </c>
      <c r="U35" s="7">
        <v>1847</v>
      </c>
      <c r="V35" s="7">
        <v>0</v>
      </c>
      <c r="W35" s="7">
        <v>27</v>
      </c>
      <c r="X35" s="7">
        <v>5541308283</v>
      </c>
      <c r="Y35" s="7">
        <v>5582923196</v>
      </c>
      <c r="Z35" s="7" t="s">
        <v>1393</v>
      </c>
      <c r="AA35" s="7" t="s">
        <v>1392</v>
      </c>
      <c r="AB35" s="7" t="s">
        <v>1167</v>
      </c>
      <c r="AC35" s="7">
        <v>22</v>
      </c>
    </row>
    <row r="36" spans="1:29" x14ac:dyDescent="0.45">
      <c r="A36" s="7">
        <v>710</v>
      </c>
      <c r="B36" s="7" t="s">
        <v>1156</v>
      </c>
      <c r="C36" s="7" t="s">
        <v>1155</v>
      </c>
      <c r="D36" s="7" t="s">
        <v>150</v>
      </c>
      <c r="E36" s="7" t="s">
        <v>36</v>
      </c>
      <c r="F36" s="7">
        <v>5571585130</v>
      </c>
      <c r="G36" s="8">
        <v>46078</v>
      </c>
      <c r="H36" s="7">
        <v>151368923</v>
      </c>
      <c r="I36" s="7">
        <v>22544193</v>
      </c>
      <c r="J36" s="7" t="s">
        <v>147</v>
      </c>
      <c r="K36" s="7" t="s">
        <v>1391</v>
      </c>
      <c r="L36" s="7" t="s">
        <v>1205</v>
      </c>
      <c r="M36" s="7" t="s">
        <v>1152</v>
      </c>
      <c r="N36" s="7">
        <v>10000064</v>
      </c>
      <c r="O36" s="7" t="s">
        <v>28</v>
      </c>
      <c r="P36" s="7" t="s">
        <v>1151</v>
      </c>
      <c r="Q36" s="7">
        <v>348485</v>
      </c>
      <c r="R36" s="7" t="s">
        <v>1150</v>
      </c>
      <c r="S36" s="7" t="s">
        <v>1149</v>
      </c>
      <c r="T36" s="7">
        <v>1</v>
      </c>
      <c r="U36" s="7">
        <v>394</v>
      </c>
      <c r="V36" s="7">
        <v>746</v>
      </c>
      <c r="W36" s="7">
        <v>21</v>
      </c>
      <c r="X36" s="7">
        <v>5537576166</v>
      </c>
      <c r="Y36" s="7">
        <v>5526545859</v>
      </c>
      <c r="Z36" s="7" t="s">
        <v>1390</v>
      </c>
      <c r="AA36" s="7" t="s">
        <v>1389</v>
      </c>
      <c r="AB36" s="7"/>
      <c r="AC36" s="7"/>
    </row>
    <row r="37" spans="1:29" x14ac:dyDescent="0.45">
      <c r="A37" s="7">
        <v>710</v>
      </c>
      <c r="B37" s="7" t="s">
        <v>1156</v>
      </c>
      <c r="C37" s="7" t="s">
        <v>1155</v>
      </c>
      <c r="D37" s="7" t="s">
        <v>150</v>
      </c>
      <c r="E37" s="7" t="s">
        <v>31</v>
      </c>
      <c r="F37" s="7">
        <v>5592107092</v>
      </c>
      <c r="G37" s="8">
        <v>46087</v>
      </c>
      <c r="H37" s="7">
        <v>151373474</v>
      </c>
      <c r="I37" s="7">
        <v>22598220</v>
      </c>
      <c r="J37" s="7" t="s">
        <v>147</v>
      </c>
      <c r="K37" s="7" t="s">
        <v>1388</v>
      </c>
      <c r="L37" s="7" t="s">
        <v>1205</v>
      </c>
      <c r="M37" s="7" t="s">
        <v>1152</v>
      </c>
      <c r="N37" s="7">
        <v>10000064</v>
      </c>
      <c r="O37" s="7" t="s">
        <v>28</v>
      </c>
      <c r="P37" s="7" t="s">
        <v>1151</v>
      </c>
      <c r="Q37" s="7">
        <v>348485</v>
      </c>
      <c r="R37" s="7" t="s">
        <v>1150</v>
      </c>
      <c r="S37" s="7" t="s">
        <v>1149</v>
      </c>
      <c r="T37" s="7">
        <v>2</v>
      </c>
      <c r="U37" s="7">
        <v>358</v>
      </c>
      <c r="V37" s="7">
        <v>0</v>
      </c>
      <c r="W37" s="7">
        <v>4</v>
      </c>
      <c r="X37" s="7">
        <v>5532418871</v>
      </c>
      <c r="Y37" s="7">
        <v>5532418871</v>
      </c>
      <c r="Z37" s="7" t="s">
        <v>1387</v>
      </c>
      <c r="AA37" s="7" t="s">
        <v>1386</v>
      </c>
      <c r="AB37" s="7"/>
      <c r="AC37" s="7"/>
    </row>
    <row r="38" spans="1:29" x14ac:dyDescent="0.45">
      <c r="A38" s="7">
        <v>710</v>
      </c>
      <c r="B38" s="7" t="s">
        <v>1156</v>
      </c>
      <c r="C38" s="7" t="s">
        <v>1155</v>
      </c>
      <c r="D38" s="7" t="s">
        <v>150</v>
      </c>
      <c r="E38" s="7" t="s">
        <v>45</v>
      </c>
      <c r="F38" s="7">
        <v>5522235901</v>
      </c>
      <c r="G38" s="8">
        <v>46060</v>
      </c>
      <c r="H38" s="7">
        <v>151334592</v>
      </c>
      <c r="I38" s="7">
        <v>22173583</v>
      </c>
      <c r="J38" s="7" t="s">
        <v>147</v>
      </c>
      <c r="K38" s="7" t="s">
        <v>1385</v>
      </c>
      <c r="L38" s="7" t="s">
        <v>1195</v>
      </c>
      <c r="M38" s="7" t="s">
        <v>1152</v>
      </c>
      <c r="N38" s="7">
        <v>10000064</v>
      </c>
      <c r="O38" s="7" t="s">
        <v>28</v>
      </c>
      <c r="P38" s="7" t="s">
        <v>1151</v>
      </c>
      <c r="Q38" s="7">
        <v>348485</v>
      </c>
      <c r="R38" s="7" t="s">
        <v>1150</v>
      </c>
      <c r="S38" s="7" t="s">
        <v>1204</v>
      </c>
      <c r="T38" s="7">
        <v>3</v>
      </c>
      <c r="U38" s="7">
        <v>1013</v>
      </c>
      <c r="V38" s="7">
        <v>0</v>
      </c>
      <c r="W38" s="7">
        <v>4</v>
      </c>
      <c r="X38" s="7">
        <v>5560999912</v>
      </c>
      <c r="Y38" s="7">
        <v>5633292020</v>
      </c>
      <c r="Z38" s="7" t="s">
        <v>1384</v>
      </c>
      <c r="AA38" s="7" t="s">
        <v>1383</v>
      </c>
      <c r="AB38" s="7" t="s">
        <v>1183</v>
      </c>
      <c r="AC38" s="7">
        <v>6</v>
      </c>
    </row>
    <row r="39" spans="1:29" x14ac:dyDescent="0.45">
      <c r="A39" s="7">
        <v>710</v>
      </c>
      <c r="B39" s="7" t="s">
        <v>1156</v>
      </c>
      <c r="C39" s="7" t="s">
        <v>1155</v>
      </c>
      <c r="D39" s="7" t="s">
        <v>150</v>
      </c>
      <c r="E39" s="7" t="s">
        <v>31</v>
      </c>
      <c r="F39" s="7">
        <v>5511065039</v>
      </c>
      <c r="G39" s="8">
        <v>46045</v>
      </c>
      <c r="H39" s="7">
        <v>151307389</v>
      </c>
      <c r="I39" s="7">
        <v>21849272</v>
      </c>
      <c r="J39" s="7" t="s">
        <v>147</v>
      </c>
      <c r="K39" s="7" t="s">
        <v>1382</v>
      </c>
      <c r="L39" s="7" t="s">
        <v>1381</v>
      </c>
      <c r="M39" s="7" t="s">
        <v>144</v>
      </c>
      <c r="N39" s="7">
        <v>10001013</v>
      </c>
      <c r="O39" s="7" t="s">
        <v>28</v>
      </c>
      <c r="P39" s="7" t="s">
        <v>1151</v>
      </c>
      <c r="Q39" s="7">
        <v>345495</v>
      </c>
      <c r="R39" s="7" t="s">
        <v>1160</v>
      </c>
      <c r="S39" s="7" t="s">
        <v>1213</v>
      </c>
      <c r="T39" s="7">
        <v>3</v>
      </c>
      <c r="U39" s="7">
        <v>1747</v>
      </c>
      <c r="V39" s="7">
        <v>0</v>
      </c>
      <c r="W39" s="7">
        <v>18</v>
      </c>
      <c r="X39" s="7">
        <v>7121474226</v>
      </c>
      <c r="Y39" s="7">
        <v>7121474227</v>
      </c>
      <c r="Z39" s="7" t="s">
        <v>1380</v>
      </c>
      <c r="AA39" s="7" t="s">
        <v>1379</v>
      </c>
      <c r="AB39" s="7"/>
      <c r="AC39" s="7"/>
    </row>
    <row r="40" spans="1:29" x14ac:dyDescent="0.45">
      <c r="A40" s="7">
        <v>710</v>
      </c>
      <c r="B40" s="7" t="s">
        <v>1156</v>
      </c>
      <c r="C40" s="7" t="s">
        <v>1155</v>
      </c>
      <c r="D40" s="7" t="s">
        <v>150</v>
      </c>
      <c r="E40" s="7" t="s">
        <v>101</v>
      </c>
      <c r="F40" s="7">
        <v>5530929161</v>
      </c>
      <c r="G40" s="8">
        <v>46037</v>
      </c>
      <c r="H40" s="7">
        <v>151288120</v>
      </c>
      <c r="I40" s="7">
        <v>21577052</v>
      </c>
      <c r="J40" s="7" t="s">
        <v>1173</v>
      </c>
      <c r="K40" s="7" t="s">
        <v>1378</v>
      </c>
      <c r="L40" s="7" t="s">
        <v>1177</v>
      </c>
      <c r="M40" s="7" t="s">
        <v>1152</v>
      </c>
      <c r="N40" s="7">
        <v>10001013</v>
      </c>
      <c r="O40" s="7" t="s">
        <v>28</v>
      </c>
      <c r="P40" s="7" t="s">
        <v>1151</v>
      </c>
      <c r="Q40" s="7">
        <v>345495</v>
      </c>
      <c r="R40" s="7" t="s">
        <v>1160</v>
      </c>
      <c r="S40" s="7" t="s">
        <v>1240</v>
      </c>
      <c r="T40" s="7">
        <v>3</v>
      </c>
      <c r="U40" s="7">
        <v>1298</v>
      </c>
      <c r="V40" s="7">
        <v>0</v>
      </c>
      <c r="W40" s="7">
        <v>12</v>
      </c>
      <c r="X40" s="7">
        <v>5577632446</v>
      </c>
      <c r="Y40" s="7">
        <v>5658041996</v>
      </c>
      <c r="Z40" s="7" t="s">
        <v>1377</v>
      </c>
      <c r="AA40" s="7" t="s">
        <v>1376</v>
      </c>
      <c r="AB40" s="7"/>
      <c r="AC40" s="7"/>
    </row>
    <row r="41" spans="1:29" x14ac:dyDescent="0.45">
      <c r="A41" s="7">
        <v>710</v>
      </c>
      <c r="B41" s="7" t="s">
        <v>1156</v>
      </c>
      <c r="C41" s="7" t="s">
        <v>1155</v>
      </c>
      <c r="D41" s="7" t="s">
        <v>150</v>
      </c>
      <c r="E41" s="7" t="s">
        <v>42</v>
      </c>
      <c r="F41" s="7">
        <v>5556305572</v>
      </c>
      <c r="G41" s="8">
        <v>46024</v>
      </c>
      <c r="H41" s="7">
        <v>151264261</v>
      </c>
      <c r="I41" s="7">
        <v>21289522</v>
      </c>
      <c r="J41" s="7" t="s">
        <v>1173</v>
      </c>
      <c r="K41" s="7" t="s">
        <v>1375</v>
      </c>
      <c r="L41" s="7" t="s">
        <v>1241</v>
      </c>
      <c r="M41" s="7" t="s">
        <v>1152</v>
      </c>
      <c r="N41" s="7">
        <v>10000064</v>
      </c>
      <c r="O41" s="7" t="s">
        <v>28</v>
      </c>
      <c r="P41" s="7" t="s">
        <v>1151</v>
      </c>
      <c r="Q41" s="7">
        <v>326925</v>
      </c>
      <c r="R41" s="7" t="s">
        <v>1160</v>
      </c>
      <c r="S41" s="7" t="s">
        <v>1190</v>
      </c>
      <c r="T41" s="7">
        <v>2</v>
      </c>
      <c r="U41" s="7">
        <v>1097</v>
      </c>
      <c r="V41" s="7">
        <v>1790</v>
      </c>
      <c r="W41" s="7">
        <v>28</v>
      </c>
      <c r="X41" s="7">
        <v>5534851511</v>
      </c>
      <c r="Y41" s="7">
        <v>7207086809</v>
      </c>
      <c r="Z41" s="7" t="s">
        <v>1374</v>
      </c>
      <c r="AA41" s="7" t="s">
        <v>1373</v>
      </c>
      <c r="AB41" s="7" t="s">
        <v>1167</v>
      </c>
      <c r="AC41" s="7">
        <v>12</v>
      </c>
    </row>
    <row r="42" spans="1:29" x14ac:dyDescent="0.45">
      <c r="A42" s="7">
        <v>710</v>
      </c>
      <c r="B42" s="7" t="s">
        <v>1156</v>
      </c>
      <c r="C42" s="7" t="s">
        <v>1155</v>
      </c>
      <c r="D42" s="7" t="s">
        <v>162</v>
      </c>
      <c r="E42" s="7" t="s">
        <v>39</v>
      </c>
      <c r="F42" s="7">
        <v>5576012665</v>
      </c>
      <c r="G42" s="8">
        <v>46094</v>
      </c>
      <c r="H42" s="7">
        <v>151384579</v>
      </c>
      <c r="I42" s="7">
        <v>22758673</v>
      </c>
      <c r="J42" s="7" t="s">
        <v>1173</v>
      </c>
      <c r="K42" s="7" t="s">
        <v>1372</v>
      </c>
      <c r="L42" s="7" t="s">
        <v>1340</v>
      </c>
      <c r="M42" s="7" t="s">
        <v>1152</v>
      </c>
      <c r="N42" s="7">
        <v>10001013</v>
      </c>
      <c r="O42" s="7" t="s">
        <v>28</v>
      </c>
      <c r="P42" s="7" t="s">
        <v>1151</v>
      </c>
      <c r="Q42" s="7">
        <v>348467</v>
      </c>
      <c r="R42" s="7" t="s">
        <v>1160</v>
      </c>
      <c r="S42" s="7" t="s">
        <v>1371</v>
      </c>
      <c r="T42" s="7">
        <v>1</v>
      </c>
      <c r="U42" s="7">
        <v>533</v>
      </c>
      <c r="V42" s="7">
        <v>0</v>
      </c>
      <c r="W42" s="7">
        <v>7</v>
      </c>
      <c r="X42" s="7">
        <v>5538964831</v>
      </c>
      <c r="Y42" s="7">
        <v>5510045628</v>
      </c>
      <c r="Z42" s="7" t="s">
        <v>1370</v>
      </c>
      <c r="AA42" s="7" t="s">
        <v>1369</v>
      </c>
      <c r="AB42" s="7"/>
      <c r="AC42" s="7"/>
    </row>
    <row r="43" spans="1:29" x14ac:dyDescent="0.45">
      <c r="A43" s="7">
        <v>710</v>
      </c>
      <c r="B43" s="7" t="s">
        <v>1156</v>
      </c>
      <c r="C43" s="7" t="s">
        <v>1155</v>
      </c>
      <c r="D43" s="7" t="s">
        <v>162</v>
      </c>
      <c r="E43" s="7" t="s">
        <v>55</v>
      </c>
      <c r="F43" s="7">
        <v>5911083084</v>
      </c>
      <c r="G43" s="8">
        <v>46036</v>
      </c>
      <c r="H43" s="7">
        <v>151288448</v>
      </c>
      <c r="I43" s="7">
        <v>21574849</v>
      </c>
      <c r="J43" s="7" t="s">
        <v>147</v>
      </c>
      <c r="K43" s="7" t="s">
        <v>1368</v>
      </c>
      <c r="L43" s="7" t="s">
        <v>1246</v>
      </c>
      <c r="M43" s="7" t="s">
        <v>1152</v>
      </c>
      <c r="N43" s="7">
        <v>10000064</v>
      </c>
      <c r="O43" s="7" t="s">
        <v>28</v>
      </c>
      <c r="P43" s="7" t="s">
        <v>1151</v>
      </c>
      <c r="Q43" s="7">
        <v>346126</v>
      </c>
      <c r="R43" s="7" t="s">
        <v>1160</v>
      </c>
      <c r="S43" s="7" t="s">
        <v>1149</v>
      </c>
      <c r="T43" s="7">
        <v>3</v>
      </c>
      <c r="U43" s="7">
        <v>1148</v>
      </c>
      <c r="V43" s="7">
        <v>0</v>
      </c>
      <c r="W43" s="7">
        <v>10</v>
      </c>
      <c r="X43" s="7">
        <v>5611311384</v>
      </c>
      <c r="Y43" s="7">
        <v>5611311384</v>
      </c>
      <c r="Z43" s="7" t="s">
        <v>1367</v>
      </c>
      <c r="AA43" s="7" t="s">
        <v>1366</v>
      </c>
      <c r="AB43" s="7"/>
      <c r="AC43" s="7"/>
    </row>
    <row r="44" spans="1:29" x14ac:dyDescent="0.45">
      <c r="A44" s="7">
        <v>710</v>
      </c>
      <c r="B44" s="7" t="s">
        <v>1156</v>
      </c>
      <c r="C44" s="7" t="s">
        <v>1155</v>
      </c>
      <c r="D44" s="7" t="s">
        <v>162</v>
      </c>
      <c r="E44" s="7" t="s">
        <v>39</v>
      </c>
      <c r="F44" s="7">
        <v>5591547505</v>
      </c>
      <c r="G44" s="8">
        <v>46065</v>
      </c>
      <c r="H44" s="7">
        <v>151345456</v>
      </c>
      <c r="I44" s="7">
        <v>22291151</v>
      </c>
      <c r="J44" s="7" t="s">
        <v>1173</v>
      </c>
      <c r="K44" s="7" t="s">
        <v>1365</v>
      </c>
      <c r="L44" s="7" t="s">
        <v>1161</v>
      </c>
      <c r="M44" s="7" t="s">
        <v>1152</v>
      </c>
      <c r="N44" s="7">
        <v>10000064</v>
      </c>
      <c r="O44" s="7" t="s">
        <v>28</v>
      </c>
      <c r="P44" s="7" t="s">
        <v>1151</v>
      </c>
      <c r="Q44" s="7">
        <v>346072</v>
      </c>
      <c r="R44" s="7" t="s">
        <v>1160</v>
      </c>
      <c r="S44" s="7" t="s">
        <v>1275</v>
      </c>
      <c r="T44" s="7">
        <v>3</v>
      </c>
      <c r="U44" s="7">
        <v>1748</v>
      </c>
      <c r="V44" s="7">
        <v>0</v>
      </c>
      <c r="W44" s="7">
        <v>5</v>
      </c>
      <c r="X44" s="7">
        <v>5665354393</v>
      </c>
      <c r="Y44" s="7">
        <v>5531519531</v>
      </c>
      <c r="Z44" s="7" t="s">
        <v>1364</v>
      </c>
      <c r="AA44" s="7" t="s">
        <v>1363</v>
      </c>
      <c r="AB44" s="7" t="s">
        <v>1227</v>
      </c>
      <c r="AC44" s="7">
        <v>14</v>
      </c>
    </row>
    <row r="45" spans="1:29" x14ac:dyDescent="0.45">
      <c r="A45" s="7">
        <v>710</v>
      </c>
      <c r="B45" s="7" t="s">
        <v>1156</v>
      </c>
      <c r="C45" s="7" t="s">
        <v>1155</v>
      </c>
      <c r="D45" s="7" t="s">
        <v>150</v>
      </c>
      <c r="E45" s="7" t="s">
        <v>42</v>
      </c>
      <c r="F45" s="7">
        <v>5521563113</v>
      </c>
      <c r="G45" s="8">
        <v>46073</v>
      </c>
      <c r="H45" s="7">
        <v>151363167</v>
      </c>
      <c r="I45" s="7">
        <v>22484293</v>
      </c>
      <c r="J45" s="7" t="s">
        <v>147</v>
      </c>
      <c r="K45" s="7" t="s">
        <v>1362</v>
      </c>
      <c r="L45" s="7"/>
      <c r="M45" s="7" t="s">
        <v>1152</v>
      </c>
      <c r="N45" s="7">
        <v>10000064</v>
      </c>
      <c r="O45" s="7" t="s">
        <v>28</v>
      </c>
      <c r="P45" s="7" t="s">
        <v>1151</v>
      </c>
      <c r="Q45" s="7">
        <v>348485</v>
      </c>
      <c r="R45" s="7" t="s">
        <v>1150</v>
      </c>
      <c r="S45" s="7" t="s">
        <v>1149</v>
      </c>
      <c r="T45" s="7">
        <v>2</v>
      </c>
      <c r="U45" s="7">
        <v>895</v>
      </c>
      <c r="V45" s="7">
        <v>0</v>
      </c>
      <c r="W45" s="7">
        <v>16</v>
      </c>
      <c r="X45" s="7">
        <v>5511208454</v>
      </c>
      <c r="Y45" s="7">
        <v>5636117590</v>
      </c>
      <c r="Z45" s="7" t="s">
        <v>1361</v>
      </c>
      <c r="AA45" s="7"/>
      <c r="AB45" s="7" t="s">
        <v>1266</v>
      </c>
      <c r="AC45" s="7">
        <v>14</v>
      </c>
    </row>
    <row r="46" spans="1:29" x14ac:dyDescent="0.45">
      <c r="A46" s="7">
        <v>710</v>
      </c>
      <c r="B46" s="7" t="s">
        <v>1156</v>
      </c>
      <c r="C46" s="7" t="s">
        <v>1155</v>
      </c>
      <c r="D46" s="7" t="s">
        <v>150</v>
      </c>
      <c r="E46" s="7" t="s">
        <v>42</v>
      </c>
      <c r="F46" s="7">
        <v>5556443551</v>
      </c>
      <c r="G46" s="8">
        <v>46038</v>
      </c>
      <c r="H46" s="7">
        <v>151293410</v>
      </c>
      <c r="I46" s="7">
        <v>21619020</v>
      </c>
      <c r="J46" s="7" t="s">
        <v>1173</v>
      </c>
      <c r="K46" s="7" t="s">
        <v>1360</v>
      </c>
      <c r="L46" s="7" t="s">
        <v>1214</v>
      </c>
      <c r="M46" s="7" t="s">
        <v>1152</v>
      </c>
      <c r="N46" s="7">
        <v>10000064</v>
      </c>
      <c r="O46" s="7" t="s">
        <v>28</v>
      </c>
      <c r="P46" s="7" t="s">
        <v>1151</v>
      </c>
      <c r="Q46" s="7">
        <v>346072</v>
      </c>
      <c r="R46" s="7" t="s">
        <v>1160</v>
      </c>
      <c r="S46" s="7" t="s">
        <v>1240</v>
      </c>
      <c r="T46" s="7">
        <v>3</v>
      </c>
      <c r="U46" s="7">
        <v>1647</v>
      </c>
      <c r="V46" s="7">
        <v>0</v>
      </c>
      <c r="W46" s="7">
        <v>11</v>
      </c>
      <c r="X46" s="7">
        <v>5561251202</v>
      </c>
      <c r="Y46" s="7">
        <v>5548649644</v>
      </c>
      <c r="Z46" s="7" t="s">
        <v>1359</v>
      </c>
      <c r="AA46" s="7"/>
      <c r="AB46" s="7" t="s">
        <v>1192</v>
      </c>
      <c r="AC46" s="7">
        <v>11</v>
      </c>
    </row>
    <row r="47" spans="1:29" x14ac:dyDescent="0.45">
      <c r="A47" s="7">
        <v>710</v>
      </c>
      <c r="B47" s="7" t="s">
        <v>1156</v>
      </c>
      <c r="C47" s="7" t="s">
        <v>1155</v>
      </c>
      <c r="D47" s="7" t="s">
        <v>162</v>
      </c>
      <c r="E47" s="7" t="s">
        <v>39</v>
      </c>
      <c r="F47" s="7">
        <v>5513156447</v>
      </c>
      <c r="G47" s="8">
        <v>46083</v>
      </c>
      <c r="H47" s="7">
        <v>151377414</v>
      </c>
      <c r="I47" s="7">
        <v>22682922</v>
      </c>
      <c r="J47" s="7" t="s">
        <v>147</v>
      </c>
      <c r="K47" s="7" t="s">
        <v>1358</v>
      </c>
      <c r="L47" s="7" t="s">
        <v>1161</v>
      </c>
      <c r="M47" s="7" t="s">
        <v>1152</v>
      </c>
      <c r="N47" s="7">
        <v>10001013</v>
      </c>
      <c r="O47" s="7" t="s">
        <v>28</v>
      </c>
      <c r="P47" s="7" t="s">
        <v>1151</v>
      </c>
      <c r="Q47" s="7">
        <v>351030</v>
      </c>
      <c r="R47" s="7" t="s">
        <v>1160</v>
      </c>
      <c r="S47" s="7" t="s">
        <v>1176</v>
      </c>
      <c r="T47" s="7">
        <v>2</v>
      </c>
      <c r="U47" s="7">
        <v>1247</v>
      </c>
      <c r="V47" s="7">
        <v>500</v>
      </c>
      <c r="W47" s="7">
        <v>26</v>
      </c>
      <c r="X47" s="7">
        <v>5591994243</v>
      </c>
      <c r="Y47" s="7">
        <v>5636272552</v>
      </c>
      <c r="Z47" s="7" t="s">
        <v>1357</v>
      </c>
      <c r="AA47" s="7" t="s">
        <v>1356</v>
      </c>
      <c r="AB47" s="7" t="s">
        <v>1183</v>
      </c>
      <c r="AC47" s="7">
        <v>12</v>
      </c>
    </row>
    <row r="48" spans="1:29" x14ac:dyDescent="0.45">
      <c r="A48" s="7">
        <v>710</v>
      </c>
      <c r="B48" s="7" t="s">
        <v>1156</v>
      </c>
      <c r="C48" s="7" t="s">
        <v>1155</v>
      </c>
      <c r="D48" s="7" t="s">
        <v>150</v>
      </c>
      <c r="E48" s="7" t="s">
        <v>101</v>
      </c>
      <c r="F48" s="7">
        <v>5512725999</v>
      </c>
      <c r="G48" s="8">
        <v>46081</v>
      </c>
      <c r="H48" s="7">
        <v>151377634</v>
      </c>
      <c r="I48" s="7">
        <v>22681884</v>
      </c>
      <c r="J48" s="7" t="s">
        <v>147</v>
      </c>
      <c r="K48" s="7" t="s">
        <v>1355</v>
      </c>
      <c r="L48" s="7" t="s">
        <v>1181</v>
      </c>
      <c r="M48" s="7" t="s">
        <v>1152</v>
      </c>
      <c r="N48" s="7">
        <v>10001013</v>
      </c>
      <c r="O48" s="7" t="s">
        <v>28</v>
      </c>
      <c r="P48" s="7" t="s">
        <v>1151</v>
      </c>
      <c r="Q48" s="7">
        <v>345495</v>
      </c>
      <c r="R48" s="7" t="s">
        <v>1160</v>
      </c>
      <c r="S48" s="7" t="s">
        <v>1176</v>
      </c>
      <c r="T48" s="7">
        <v>2</v>
      </c>
      <c r="U48" s="7">
        <v>949</v>
      </c>
      <c r="V48" s="7">
        <v>0</v>
      </c>
      <c r="W48" s="7">
        <v>23</v>
      </c>
      <c r="X48" s="7">
        <v>5549024631</v>
      </c>
      <c r="Y48" s="7">
        <v>5548171688</v>
      </c>
      <c r="Z48" s="7" t="s">
        <v>1354</v>
      </c>
      <c r="AA48" s="7" t="s">
        <v>1353</v>
      </c>
      <c r="AB48" s="7" t="s">
        <v>1266</v>
      </c>
      <c r="AC48" s="7">
        <v>13</v>
      </c>
    </row>
    <row r="49" spans="1:29" x14ac:dyDescent="0.45">
      <c r="A49" s="7">
        <v>710</v>
      </c>
      <c r="B49" s="7" t="s">
        <v>1156</v>
      </c>
      <c r="C49" s="7" t="s">
        <v>1155</v>
      </c>
      <c r="D49" s="7" t="s">
        <v>150</v>
      </c>
      <c r="E49" s="7" t="s">
        <v>42</v>
      </c>
      <c r="F49" s="7">
        <v>5598275670</v>
      </c>
      <c r="G49" s="8">
        <v>46027</v>
      </c>
      <c r="H49" s="7">
        <v>151270339</v>
      </c>
      <c r="I49" s="7">
        <v>21326286</v>
      </c>
      <c r="J49" s="7" t="s">
        <v>147</v>
      </c>
      <c r="K49" s="7" t="s">
        <v>1352</v>
      </c>
      <c r="L49" s="7" t="s">
        <v>1153</v>
      </c>
      <c r="M49" s="7" t="s">
        <v>1152</v>
      </c>
      <c r="N49" s="7">
        <v>10000064</v>
      </c>
      <c r="O49" s="7" t="s">
        <v>28</v>
      </c>
      <c r="P49" s="7" t="s">
        <v>1151</v>
      </c>
      <c r="Q49" s="7">
        <v>344157</v>
      </c>
      <c r="R49" s="7" t="s">
        <v>1160</v>
      </c>
      <c r="S49" s="7" t="s">
        <v>1149</v>
      </c>
      <c r="T49" s="7">
        <v>4</v>
      </c>
      <c r="U49" s="7">
        <v>753</v>
      </c>
      <c r="V49" s="7">
        <v>0</v>
      </c>
      <c r="W49" s="7">
        <v>2</v>
      </c>
      <c r="X49" s="7">
        <v>5522470152</v>
      </c>
      <c r="Y49" s="7">
        <v>5520263996</v>
      </c>
      <c r="Z49" s="7" t="s">
        <v>1351</v>
      </c>
      <c r="AA49" s="7" t="s">
        <v>1350</v>
      </c>
      <c r="AB49" s="7"/>
      <c r="AC49" s="7"/>
    </row>
    <row r="50" spans="1:29" x14ac:dyDescent="0.45">
      <c r="A50" s="7">
        <v>710</v>
      </c>
      <c r="B50" s="7" t="s">
        <v>1156</v>
      </c>
      <c r="C50" s="7" t="s">
        <v>1155</v>
      </c>
      <c r="D50" s="7" t="s">
        <v>150</v>
      </c>
      <c r="E50" s="7" t="s">
        <v>42</v>
      </c>
      <c r="F50" s="7">
        <v>5556452722</v>
      </c>
      <c r="G50" s="8">
        <v>46121</v>
      </c>
      <c r="H50" s="7">
        <v>151440346</v>
      </c>
      <c r="I50" s="7">
        <v>24022468</v>
      </c>
      <c r="J50" s="7" t="s">
        <v>147</v>
      </c>
      <c r="K50" s="7" t="s">
        <v>1349</v>
      </c>
      <c r="L50" s="7"/>
      <c r="M50" s="7" t="s">
        <v>1152</v>
      </c>
      <c r="N50" s="7">
        <v>10000064</v>
      </c>
      <c r="O50" s="7" t="s">
        <v>28</v>
      </c>
      <c r="P50" s="7" t="s">
        <v>1151</v>
      </c>
      <c r="Q50" s="7">
        <v>346072</v>
      </c>
      <c r="R50" s="7" t="s">
        <v>1160</v>
      </c>
      <c r="S50" s="7" t="s">
        <v>1213</v>
      </c>
      <c r="T50" s="7">
        <v>1</v>
      </c>
      <c r="U50" s="7">
        <v>1298</v>
      </c>
      <c r="V50" s="7">
        <v>0</v>
      </c>
      <c r="W50" s="7">
        <v>3</v>
      </c>
      <c r="X50" s="7">
        <v>5651481781</v>
      </c>
      <c r="Y50" s="7">
        <v>5662632057</v>
      </c>
      <c r="Z50" s="7" t="s">
        <v>1348</v>
      </c>
      <c r="AA50" s="7"/>
      <c r="AB50" s="7" t="s">
        <v>1227</v>
      </c>
      <c r="AC50" s="7">
        <v>8</v>
      </c>
    </row>
    <row r="51" spans="1:29" x14ac:dyDescent="0.45">
      <c r="A51" s="7">
        <v>710</v>
      </c>
      <c r="B51" s="7" t="s">
        <v>1156</v>
      </c>
      <c r="C51" s="7" t="s">
        <v>1155</v>
      </c>
      <c r="D51" s="7" t="s">
        <v>150</v>
      </c>
      <c r="E51" s="7" t="s">
        <v>42</v>
      </c>
      <c r="F51" s="7">
        <v>5591347168</v>
      </c>
      <c r="G51" s="8">
        <v>46076</v>
      </c>
      <c r="H51" s="7">
        <v>151344986</v>
      </c>
      <c r="I51" s="7">
        <v>22297238</v>
      </c>
      <c r="J51" s="7" t="s">
        <v>147</v>
      </c>
      <c r="K51" s="7" t="s">
        <v>1347</v>
      </c>
      <c r="L51" s="7" t="s">
        <v>1153</v>
      </c>
      <c r="M51" s="7" t="s">
        <v>1152</v>
      </c>
      <c r="N51" s="7">
        <v>10000064</v>
      </c>
      <c r="O51" s="7" t="s">
        <v>28</v>
      </c>
      <c r="P51" s="7" t="s">
        <v>1151</v>
      </c>
      <c r="Q51" s="7">
        <v>346126</v>
      </c>
      <c r="R51" s="7" t="s">
        <v>1160</v>
      </c>
      <c r="S51" s="7" t="s">
        <v>1149</v>
      </c>
      <c r="T51" s="7">
        <v>1</v>
      </c>
      <c r="U51" s="7">
        <v>953</v>
      </c>
      <c r="V51" s="7">
        <v>800</v>
      </c>
      <c r="W51" s="7">
        <v>19</v>
      </c>
      <c r="X51" s="7">
        <v>5519824948</v>
      </c>
      <c r="Y51" s="7">
        <v>5542696774</v>
      </c>
      <c r="Z51" s="7" t="s">
        <v>1346</v>
      </c>
      <c r="AA51" s="7" t="s">
        <v>1345</v>
      </c>
      <c r="AB51" s="7" t="s">
        <v>1183</v>
      </c>
      <c r="AC51" s="7">
        <v>11</v>
      </c>
    </row>
    <row r="52" spans="1:29" x14ac:dyDescent="0.45">
      <c r="A52" s="7">
        <v>710</v>
      </c>
      <c r="B52" s="7" t="s">
        <v>1156</v>
      </c>
      <c r="C52" s="7" t="s">
        <v>1155</v>
      </c>
      <c r="D52" s="7" t="s">
        <v>150</v>
      </c>
      <c r="E52" s="7" t="s">
        <v>101</v>
      </c>
      <c r="F52" s="7">
        <v>5591749147</v>
      </c>
      <c r="G52" s="8">
        <v>46037</v>
      </c>
      <c r="H52" s="7">
        <v>151253120</v>
      </c>
      <c r="I52" s="7">
        <v>21089429</v>
      </c>
      <c r="J52" s="7" t="s">
        <v>147</v>
      </c>
      <c r="K52" s="7" t="s">
        <v>1344</v>
      </c>
      <c r="L52" s="7" t="s">
        <v>1181</v>
      </c>
      <c r="M52" s="7" t="s">
        <v>1152</v>
      </c>
      <c r="N52" s="7">
        <v>10001013</v>
      </c>
      <c r="O52" s="7" t="s">
        <v>28</v>
      </c>
      <c r="P52" s="7" t="s">
        <v>1151</v>
      </c>
      <c r="Q52" s="7">
        <v>344154</v>
      </c>
      <c r="R52" s="7" t="s">
        <v>1160</v>
      </c>
      <c r="S52" s="7" t="s">
        <v>1176</v>
      </c>
      <c r="T52" s="7">
        <v>1</v>
      </c>
      <c r="U52" s="7">
        <v>898</v>
      </c>
      <c r="V52" s="7">
        <v>1198</v>
      </c>
      <c r="W52" s="7">
        <v>11</v>
      </c>
      <c r="X52" s="7">
        <v>5530317839</v>
      </c>
      <c r="Y52" s="7">
        <v>5620363636</v>
      </c>
      <c r="Z52" s="7" t="s">
        <v>1343</v>
      </c>
      <c r="AA52" s="7" t="s">
        <v>1342</v>
      </c>
      <c r="AB52" s="7" t="s">
        <v>1187</v>
      </c>
      <c r="AC52" s="7">
        <v>10</v>
      </c>
    </row>
    <row r="53" spans="1:29" x14ac:dyDescent="0.45">
      <c r="A53" s="7">
        <v>710</v>
      </c>
      <c r="B53" s="7" t="s">
        <v>1156</v>
      </c>
      <c r="C53" s="7" t="s">
        <v>1155</v>
      </c>
      <c r="D53" s="7" t="s">
        <v>162</v>
      </c>
      <c r="E53" s="7" t="s">
        <v>39</v>
      </c>
      <c r="F53" s="7">
        <v>5525906336</v>
      </c>
      <c r="G53" s="8">
        <v>46029</v>
      </c>
      <c r="H53" s="7">
        <v>151271512</v>
      </c>
      <c r="I53" s="7">
        <v>21358149</v>
      </c>
      <c r="J53" s="7" t="s">
        <v>147</v>
      </c>
      <c r="K53" s="7" t="s">
        <v>1341</v>
      </c>
      <c r="L53" s="7" t="s">
        <v>1340</v>
      </c>
      <c r="M53" s="7" t="s">
        <v>1152</v>
      </c>
      <c r="N53" s="7">
        <v>10000064</v>
      </c>
      <c r="O53" s="7" t="s">
        <v>28</v>
      </c>
      <c r="P53" s="7" t="s">
        <v>1151</v>
      </c>
      <c r="Q53" s="7">
        <v>345974</v>
      </c>
      <c r="R53" s="7" t="s">
        <v>1160</v>
      </c>
      <c r="S53" s="7" t="s">
        <v>1176</v>
      </c>
      <c r="T53" s="7">
        <v>4</v>
      </c>
      <c r="U53" s="7">
        <v>1149</v>
      </c>
      <c r="V53" s="7">
        <v>0</v>
      </c>
      <c r="W53" s="7">
        <v>4</v>
      </c>
      <c r="X53" s="7">
        <v>5542719811</v>
      </c>
      <c r="Y53" s="7">
        <v>5523063310</v>
      </c>
      <c r="Z53" s="7" t="s">
        <v>1339</v>
      </c>
      <c r="AA53" s="7" t="s">
        <v>1338</v>
      </c>
      <c r="AB53" s="7"/>
      <c r="AC53" s="7"/>
    </row>
    <row r="54" spans="1:29" x14ac:dyDescent="0.45">
      <c r="A54" s="7">
        <v>710</v>
      </c>
      <c r="B54" s="7" t="s">
        <v>1156</v>
      </c>
      <c r="C54" s="7" t="s">
        <v>1155</v>
      </c>
      <c r="D54" s="7" t="s">
        <v>162</v>
      </c>
      <c r="E54" s="7" t="s">
        <v>55</v>
      </c>
      <c r="F54" s="7">
        <v>5526101395</v>
      </c>
      <c r="G54" s="8">
        <v>46060</v>
      </c>
      <c r="H54" s="7">
        <v>151337890</v>
      </c>
      <c r="I54" s="7">
        <v>22198919</v>
      </c>
      <c r="J54" s="7" t="s">
        <v>147</v>
      </c>
      <c r="K54" s="7" t="s">
        <v>1337</v>
      </c>
      <c r="L54" s="7" t="s">
        <v>1336</v>
      </c>
      <c r="M54" s="7" t="s">
        <v>47</v>
      </c>
      <c r="N54" s="7">
        <v>10001013</v>
      </c>
      <c r="O54" s="7" t="s">
        <v>28</v>
      </c>
      <c r="P54" s="7" t="s">
        <v>1151</v>
      </c>
      <c r="Q54" s="7">
        <v>348467</v>
      </c>
      <c r="R54" s="7" t="s">
        <v>1160</v>
      </c>
      <c r="S54" s="7" t="s">
        <v>1176</v>
      </c>
      <c r="T54" s="7">
        <v>1</v>
      </c>
      <c r="U54" s="7">
        <v>898</v>
      </c>
      <c r="V54" s="7">
        <v>749</v>
      </c>
      <c r="W54" s="7">
        <v>4</v>
      </c>
      <c r="X54" s="7">
        <v>5512919608</v>
      </c>
      <c r="Y54" s="7">
        <v>5530811966</v>
      </c>
      <c r="Z54" s="7" t="s">
        <v>1335</v>
      </c>
      <c r="AA54" s="7" t="s">
        <v>1334</v>
      </c>
      <c r="AB54" s="7" t="s">
        <v>1192</v>
      </c>
      <c r="AC54" s="7">
        <v>8</v>
      </c>
    </row>
    <row r="55" spans="1:29" x14ac:dyDescent="0.45">
      <c r="A55" s="7">
        <v>710</v>
      </c>
      <c r="B55" s="7" t="s">
        <v>1156</v>
      </c>
      <c r="C55" s="7" t="s">
        <v>1155</v>
      </c>
      <c r="D55" s="7" t="s">
        <v>150</v>
      </c>
      <c r="E55" s="7" t="s">
        <v>42</v>
      </c>
      <c r="F55" s="7">
        <v>5535433980</v>
      </c>
      <c r="G55" s="8">
        <v>46093</v>
      </c>
      <c r="H55" s="7">
        <v>151398892</v>
      </c>
      <c r="I55" s="7">
        <v>22952335</v>
      </c>
      <c r="J55" s="7" t="s">
        <v>147</v>
      </c>
      <c r="K55" s="7" t="s">
        <v>1333</v>
      </c>
      <c r="L55" s="7" t="s">
        <v>1209</v>
      </c>
      <c r="M55" s="7" t="s">
        <v>1152</v>
      </c>
      <c r="N55" s="7">
        <v>10000064</v>
      </c>
      <c r="O55" s="7" t="s">
        <v>28</v>
      </c>
      <c r="P55" s="7" t="s">
        <v>1151</v>
      </c>
      <c r="Q55" s="7">
        <v>351040</v>
      </c>
      <c r="R55" s="7" t="s">
        <v>1160</v>
      </c>
      <c r="S55" s="7" t="s">
        <v>1213</v>
      </c>
      <c r="T55" s="7">
        <v>1</v>
      </c>
      <c r="U55" s="7">
        <v>1198</v>
      </c>
      <c r="V55" s="7">
        <v>0</v>
      </c>
      <c r="W55" s="7">
        <v>7</v>
      </c>
      <c r="X55" s="7">
        <v>5655385344</v>
      </c>
      <c r="Y55" s="7">
        <v>5512028252</v>
      </c>
      <c r="Z55" s="7" t="s">
        <v>1332</v>
      </c>
      <c r="AA55" s="7" t="s">
        <v>1331</v>
      </c>
      <c r="AB55" s="7" t="s">
        <v>1258</v>
      </c>
      <c r="AC55" s="7">
        <v>12</v>
      </c>
    </row>
    <row r="56" spans="1:29" x14ac:dyDescent="0.45">
      <c r="A56" s="7">
        <v>710</v>
      </c>
      <c r="B56" s="7" t="s">
        <v>1156</v>
      </c>
      <c r="C56" s="7" t="s">
        <v>1155</v>
      </c>
      <c r="D56" s="7" t="s">
        <v>162</v>
      </c>
      <c r="E56" s="7" t="s">
        <v>39</v>
      </c>
      <c r="F56" s="7">
        <v>5595332438</v>
      </c>
      <c r="G56" s="8">
        <v>46056</v>
      </c>
      <c r="H56" s="7">
        <v>151324616</v>
      </c>
      <c r="I56" s="7">
        <v>22040059</v>
      </c>
      <c r="J56" s="7" t="s">
        <v>147</v>
      </c>
      <c r="K56" s="7" t="s">
        <v>1330</v>
      </c>
      <c r="L56" s="7" t="s">
        <v>1161</v>
      </c>
      <c r="M56" s="7" t="s">
        <v>1152</v>
      </c>
      <c r="N56" s="7">
        <v>10000064</v>
      </c>
      <c r="O56" s="7" t="s">
        <v>28</v>
      </c>
      <c r="P56" s="7" t="s">
        <v>1151</v>
      </c>
      <c r="Q56" s="7">
        <v>346126</v>
      </c>
      <c r="R56" s="7" t="s">
        <v>1160</v>
      </c>
      <c r="S56" s="7" t="s">
        <v>1149</v>
      </c>
      <c r="T56" s="7">
        <v>1</v>
      </c>
      <c r="U56" s="7">
        <v>764</v>
      </c>
      <c r="V56" s="7">
        <v>1160</v>
      </c>
      <c r="W56" s="7">
        <v>29</v>
      </c>
      <c r="X56" s="7">
        <v>5572116630</v>
      </c>
      <c r="Y56" s="7">
        <v>5591090253</v>
      </c>
      <c r="Z56" s="7" t="s">
        <v>1329</v>
      </c>
      <c r="AA56" s="7" t="s">
        <v>1328</v>
      </c>
      <c r="AB56" s="7"/>
      <c r="AC56" s="7"/>
    </row>
    <row r="57" spans="1:29" x14ac:dyDescent="0.45">
      <c r="A57" s="7">
        <v>710</v>
      </c>
      <c r="B57" s="7" t="s">
        <v>1156</v>
      </c>
      <c r="C57" s="7" t="s">
        <v>1155</v>
      </c>
      <c r="D57" s="7" t="s">
        <v>150</v>
      </c>
      <c r="E57" s="7" t="s">
        <v>42</v>
      </c>
      <c r="F57" s="7">
        <v>5559297099</v>
      </c>
      <c r="G57" s="8">
        <v>46030</v>
      </c>
      <c r="H57" s="7">
        <v>151278693</v>
      </c>
      <c r="I57" s="7">
        <v>21434297</v>
      </c>
      <c r="J57" s="7" t="s">
        <v>1173</v>
      </c>
      <c r="K57" s="7" t="s">
        <v>1327</v>
      </c>
      <c r="L57" s="7" t="s">
        <v>1153</v>
      </c>
      <c r="M57" s="7" t="s">
        <v>144</v>
      </c>
      <c r="N57" s="7">
        <v>10000064</v>
      </c>
      <c r="O57" s="7" t="s">
        <v>28</v>
      </c>
      <c r="P57" s="7" t="s">
        <v>1151</v>
      </c>
      <c r="Q57" s="7">
        <v>326925</v>
      </c>
      <c r="R57" s="7" t="s">
        <v>1160</v>
      </c>
      <c r="S57" s="7" t="s">
        <v>1190</v>
      </c>
      <c r="T57" s="7">
        <v>3</v>
      </c>
      <c r="U57" s="7">
        <v>1021</v>
      </c>
      <c r="V57" s="7">
        <v>0</v>
      </c>
      <c r="W57" s="7">
        <v>3</v>
      </c>
      <c r="X57" s="7">
        <v>5573233397</v>
      </c>
      <c r="Y57" s="7">
        <v>5521338287</v>
      </c>
      <c r="Z57" s="7" t="s">
        <v>1326</v>
      </c>
      <c r="AA57" s="7"/>
      <c r="AB57" s="7" t="s">
        <v>1167</v>
      </c>
      <c r="AC57" s="7">
        <v>22</v>
      </c>
    </row>
    <row r="58" spans="1:29" x14ac:dyDescent="0.45">
      <c r="A58" s="7">
        <v>710</v>
      </c>
      <c r="B58" s="7" t="s">
        <v>1156</v>
      </c>
      <c r="C58" s="7" t="s">
        <v>1155</v>
      </c>
      <c r="D58" s="7" t="s">
        <v>162</v>
      </c>
      <c r="E58" s="7" t="s">
        <v>55</v>
      </c>
      <c r="F58" s="7">
        <v>5515393690</v>
      </c>
      <c r="G58" s="8">
        <v>46083</v>
      </c>
      <c r="H58" s="7">
        <v>151373324</v>
      </c>
      <c r="I58" s="7">
        <v>22598475</v>
      </c>
      <c r="J58" s="7" t="s">
        <v>147</v>
      </c>
      <c r="K58" s="7" t="s">
        <v>1325</v>
      </c>
      <c r="L58" s="7" t="s">
        <v>1246</v>
      </c>
      <c r="M58" s="7" t="s">
        <v>1152</v>
      </c>
      <c r="N58" s="7">
        <v>10000064</v>
      </c>
      <c r="O58" s="7" t="s">
        <v>28</v>
      </c>
      <c r="P58" s="7" t="s">
        <v>1151</v>
      </c>
      <c r="Q58" s="7">
        <v>346126</v>
      </c>
      <c r="R58" s="7" t="s">
        <v>1160</v>
      </c>
      <c r="S58" s="7" t="s">
        <v>1176</v>
      </c>
      <c r="T58" s="7">
        <v>2</v>
      </c>
      <c r="U58" s="7">
        <v>1747</v>
      </c>
      <c r="V58" s="7">
        <v>0</v>
      </c>
      <c r="W58" s="7">
        <v>26</v>
      </c>
      <c r="X58" s="7">
        <v>5574735382</v>
      </c>
      <c r="Y58" s="7">
        <v>5631619397</v>
      </c>
      <c r="Z58" s="7" t="s">
        <v>1324</v>
      </c>
      <c r="AA58" s="7" t="s">
        <v>1323</v>
      </c>
      <c r="AB58" s="7" t="s">
        <v>1227</v>
      </c>
      <c r="AC58" s="7">
        <v>23</v>
      </c>
    </row>
    <row r="59" spans="1:29" x14ac:dyDescent="0.45">
      <c r="A59" s="7">
        <v>710</v>
      </c>
      <c r="B59" s="7" t="s">
        <v>1156</v>
      </c>
      <c r="C59" s="7" t="s">
        <v>1155</v>
      </c>
      <c r="D59" s="7" t="s">
        <v>150</v>
      </c>
      <c r="E59" s="7" t="s">
        <v>42</v>
      </c>
      <c r="F59" s="7">
        <v>5521579787</v>
      </c>
      <c r="G59" s="8">
        <v>46129</v>
      </c>
      <c r="H59" s="7">
        <v>151458298</v>
      </c>
      <c r="I59" s="7">
        <v>24254941</v>
      </c>
      <c r="J59" s="7" t="s">
        <v>1173</v>
      </c>
      <c r="K59" s="7" t="s">
        <v>1322</v>
      </c>
      <c r="L59" s="7" t="s">
        <v>1153</v>
      </c>
      <c r="M59" s="7" t="s">
        <v>1152</v>
      </c>
      <c r="N59" s="7">
        <v>10000064</v>
      </c>
      <c r="O59" s="7" t="s">
        <v>28</v>
      </c>
      <c r="P59" s="7" t="s">
        <v>1151</v>
      </c>
      <c r="Q59" s="7">
        <v>346072</v>
      </c>
      <c r="R59" s="7" t="s">
        <v>1160</v>
      </c>
      <c r="S59" s="7" t="s">
        <v>1240</v>
      </c>
      <c r="T59" s="7">
        <v>1</v>
      </c>
      <c r="U59" s="7">
        <v>399</v>
      </c>
      <c r="V59" s="7">
        <v>350</v>
      </c>
      <c r="W59" s="7">
        <v>8</v>
      </c>
      <c r="X59" s="7">
        <v>5578647870</v>
      </c>
      <c r="Y59" s="7">
        <v>5540739667</v>
      </c>
      <c r="Z59" s="7" t="s">
        <v>1321</v>
      </c>
      <c r="AA59" s="7" t="s">
        <v>1320</v>
      </c>
      <c r="AB59" s="7" t="s">
        <v>1319</v>
      </c>
      <c r="AC59" s="7">
        <v>20</v>
      </c>
    </row>
    <row r="60" spans="1:29" x14ac:dyDescent="0.45">
      <c r="A60" s="7">
        <v>710</v>
      </c>
      <c r="B60" s="7" t="s">
        <v>1156</v>
      </c>
      <c r="C60" s="7" t="s">
        <v>1155</v>
      </c>
      <c r="D60" s="7" t="s">
        <v>150</v>
      </c>
      <c r="E60" s="7" t="s">
        <v>42</v>
      </c>
      <c r="F60" s="7">
        <v>5515570019</v>
      </c>
      <c r="G60" s="8">
        <v>46069</v>
      </c>
      <c r="H60" s="7">
        <v>151347341</v>
      </c>
      <c r="I60" s="7">
        <v>22314114</v>
      </c>
      <c r="J60" s="7" t="s">
        <v>1173</v>
      </c>
      <c r="K60" s="7" t="s">
        <v>1318</v>
      </c>
      <c r="L60" s="7" t="s">
        <v>1241</v>
      </c>
      <c r="M60" s="7" t="s">
        <v>1152</v>
      </c>
      <c r="N60" s="7">
        <v>10000064</v>
      </c>
      <c r="O60" s="7" t="s">
        <v>28</v>
      </c>
      <c r="P60" s="7" t="s">
        <v>1151</v>
      </c>
      <c r="Q60" s="7">
        <v>348485</v>
      </c>
      <c r="R60" s="7" t="s">
        <v>1150</v>
      </c>
      <c r="S60" s="7" t="s">
        <v>1190</v>
      </c>
      <c r="T60" s="7">
        <v>1</v>
      </c>
      <c r="U60" s="7">
        <v>992</v>
      </c>
      <c r="V60" s="7">
        <v>0</v>
      </c>
      <c r="W60" s="7">
        <v>10</v>
      </c>
      <c r="X60" s="7">
        <v>5521533108</v>
      </c>
      <c r="Y60" s="7">
        <v>5522201510</v>
      </c>
      <c r="Z60" s="7" t="s">
        <v>1317</v>
      </c>
      <c r="AA60" s="7" t="s">
        <v>1316</v>
      </c>
      <c r="AB60" s="7"/>
      <c r="AC60" s="7"/>
    </row>
    <row r="61" spans="1:29" x14ac:dyDescent="0.45">
      <c r="A61" s="7">
        <v>710</v>
      </c>
      <c r="B61" s="7" t="s">
        <v>1156</v>
      </c>
      <c r="C61" s="7" t="s">
        <v>1155</v>
      </c>
      <c r="D61" s="7" t="s">
        <v>150</v>
      </c>
      <c r="E61" s="7" t="s">
        <v>42</v>
      </c>
      <c r="F61" s="7">
        <v>5554219400</v>
      </c>
      <c r="G61" s="8">
        <v>46078</v>
      </c>
      <c r="H61" s="7">
        <v>151368692</v>
      </c>
      <c r="I61" s="7">
        <v>22548087</v>
      </c>
      <c r="J61" s="7" t="s">
        <v>147</v>
      </c>
      <c r="K61" s="7" t="s">
        <v>1315</v>
      </c>
      <c r="L61" s="7" t="s">
        <v>1209</v>
      </c>
      <c r="M61" s="7" t="s">
        <v>1152</v>
      </c>
      <c r="N61" s="7">
        <v>10001013</v>
      </c>
      <c r="O61" s="7" t="s">
        <v>28</v>
      </c>
      <c r="P61" s="7" t="s">
        <v>1151</v>
      </c>
      <c r="Q61" s="7">
        <v>348467</v>
      </c>
      <c r="R61" s="7" t="s">
        <v>1160</v>
      </c>
      <c r="S61" s="7" t="s">
        <v>1149</v>
      </c>
      <c r="T61" s="7">
        <v>1</v>
      </c>
      <c r="U61" s="7">
        <v>978</v>
      </c>
      <c r="V61" s="7">
        <v>762</v>
      </c>
      <c r="W61" s="7">
        <v>21</v>
      </c>
      <c r="X61" s="7">
        <v>5524004095</v>
      </c>
      <c r="Y61" s="7">
        <v>5575637349</v>
      </c>
      <c r="Z61" s="7" t="s">
        <v>1314</v>
      </c>
      <c r="AA61" s="7" t="s">
        <v>1313</v>
      </c>
      <c r="AB61" s="7" t="s">
        <v>1192</v>
      </c>
      <c r="AC61" s="7">
        <v>4</v>
      </c>
    </row>
    <row r="62" spans="1:29" x14ac:dyDescent="0.45">
      <c r="A62" s="7">
        <v>710</v>
      </c>
      <c r="B62" s="7" t="s">
        <v>1156</v>
      </c>
      <c r="C62" s="7" t="s">
        <v>1155</v>
      </c>
      <c r="D62" s="7" t="s">
        <v>150</v>
      </c>
      <c r="E62" s="7" t="s">
        <v>42</v>
      </c>
      <c r="F62" s="7">
        <v>5555559599</v>
      </c>
      <c r="G62" s="8">
        <v>46034</v>
      </c>
      <c r="H62" s="7">
        <v>151281785</v>
      </c>
      <c r="I62" s="7">
        <v>21482357</v>
      </c>
      <c r="J62" s="7" t="s">
        <v>147</v>
      </c>
      <c r="K62" s="7" t="s">
        <v>1312</v>
      </c>
      <c r="L62" s="7" t="s">
        <v>1153</v>
      </c>
      <c r="M62" s="7" t="s">
        <v>1152</v>
      </c>
      <c r="N62" s="7">
        <v>10000064</v>
      </c>
      <c r="O62" s="7" t="s">
        <v>28</v>
      </c>
      <c r="P62" s="7" t="s">
        <v>1151</v>
      </c>
      <c r="Q62" s="7">
        <v>326925</v>
      </c>
      <c r="R62" s="7" t="s">
        <v>1160</v>
      </c>
      <c r="S62" s="7" t="s">
        <v>1245</v>
      </c>
      <c r="T62" s="7">
        <v>2</v>
      </c>
      <c r="U62" s="7">
        <v>598</v>
      </c>
      <c r="V62" s="7">
        <v>1798</v>
      </c>
      <c r="W62" s="7">
        <v>7</v>
      </c>
      <c r="X62" s="7">
        <v>5532656453</v>
      </c>
      <c r="Y62" s="7">
        <v>5619124620</v>
      </c>
      <c r="Z62" s="7" t="s">
        <v>1311</v>
      </c>
      <c r="AA62" s="7" t="s">
        <v>1310</v>
      </c>
      <c r="AB62" s="7" t="s">
        <v>1192</v>
      </c>
      <c r="AC62" s="7">
        <v>21</v>
      </c>
    </row>
    <row r="63" spans="1:29" x14ac:dyDescent="0.45">
      <c r="A63" s="7">
        <v>710</v>
      </c>
      <c r="B63" s="7" t="s">
        <v>1156</v>
      </c>
      <c r="C63" s="7" t="s">
        <v>1155</v>
      </c>
      <c r="D63" s="7" t="s">
        <v>150</v>
      </c>
      <c r="E63" s="7" t="s">
        <v>61</v>
      </c>
      <c r="F63" s="7">
        <v>5595276828</v>
      </c>
      <c r="G63" s="8">
        <v>46096</v>
      </c>
      <c r="H63" s="7">
        <v>151391140</v>
      </c>
      <c r="I63" s="7">
        <v>22826630</v>
      </c>
      <c r="J63" s="7" t="s">
        <v>147</v>
      </c>
      <c r="K63" s="7" t="s">
        <v>1309</v>
      </c>
      <c r="L63" s="7"/>
      <c r="M63" s="7" t="s">
        <v>1152</v>
      </c>
      <c r="N63" s="7">
        <v>10001013</v>
      </c>
      <c r="O63" s="7" t="s">
        <v>28</v>
      </c>
      <c r="P63" s="7" t="s">
        <v>1151</v>
      </c>
      <c r="Q63" s="7">
        <v>351030</v>
      </c>
      <c r="R63" s="7" t="s">
        <v>1160</v>
      </c>
      <c r="S63" s="7" t="s">
        <v>1149</v>
      </c>
      <c r="T63" s="7">
        <v>1</v>
      </c>
      <c r="U63" s="7">
        <v>364</v>
      </c>
      <c r="V63" s="7">
        <v>0</v>
      </c>
      <c r="W63" s="7">
        <v>11</v>
      </c>
      <c r="X63" s="7">
        <v>0</v>
      </c>
      <c r="Y63" s="7">
        <v>5514872214</v>
      </c>
      <c r="Z63" s="7" t="s">
        <v>1308</v>
      </c>
      <c r="AA63" s="7"/>
      <c r="AB63" s="7"/>
      <c r="AC63" s="7"/>
    </row>
    <row r="64" spans="1:29" x14ac:dyDescent="0.45">
      <c r="A64" s="7">
        <v>710</v>
      </c>
      <c r="B64" s="7" t="s">
        <v>1156</v>
      </c>
      <c r="C64" s="7" t="s">
        <v>1155</v>
      </c>
      <c r="D64" s="7" t="s">
        <v>162</v>
      </c>
      <c r="E64" s="7" t="s">
        <v>62</v>
      </c>
      <c r="F64" s="7">
        <v>5589086253</v>
      </c>
      <c r="G64" s="8">
        <v>46069</v>
      </c>
      <c r="H64" s="7">
        <v>151353056</v>
      </c>
      <c r="I64" s="7">
        <v>22381498</v>
      </c>
      <c r="J64" s="7" t="s">
        <v>147</v>
      </c>
      <c r="K64" s="7" t="s">
        <v>1307</v>
      </c>
      <c r="L64" s="7" t="s">
        <v>1306</v>
      </c>
      <c r="M64" s="7" t="s">
        <v>144</v>
      </c>
      <c r="N64" s="7">
        <v>10000064</v>
      </c>
      <c r="O64" s="7" t="s">
        <v>28</v>
      </c>
      <c r="P64" s="7" t="s">
        <v>1151</v>
      </c>
      <c r="Q64" s="7">
        <v>349726</v>
      </c>
      <c r="R64" s="7" t="s">
        <v>1160</v>
      </c>
      <c r="S64" s="7" t="s">
        <v>1233</v>
      </c>
      <c r="T64" s="7">
        <v>1</v>
      </c>
      <c r="U64" s="7">
        <v>1253</v>
      </c>
      <c r="V64" s="7">
        <v>0</v>
      </c>
      <c r="W64" s="7">
        <v>9</v>
      </c>
      <c r="X64" s="7">
        <v>5528293772</v>
      </c>
      <c r="Y64" s="7">
        <v>5639825352</v>
      </c>
      <c r="Z64" s="7" t="s">
        <v>1305</v>
      </c>
      <c r="AA64" s="7" t="s">
        <v>1304</v>
      </c>
      <c r="AB64" s="7" t="s">
        <v>1258</v>
      </c>
      <c r="AC64" s="7">
        <v>0</v>
      </c>
    </row>
    <row r="65" spans="1:29" x14ac:dyDescent="0.45">
      <c r="A65" s="7">
        <v>710</v>
      </c>
      <c r="B65" s="7" t="s">
        <v>1156</v>
      </c>
      <c r="C65" s="7" t="s">
        <v>1155</v>
      </c>
      <c r="D65" s="7" t="s">
        <v>150</v>
      </c>
      <c r="E65" s="7" t="s">
        <v>42</v>
      </c>
      <c r="F65" s="7">
        <v>5552042933</v>
      </c>
      <c r="G65" s="8">
        <v>46056</v>
      </c>
      <c r="H65" s="7">
        <v>151319921</v>
      </c>
      <c r="I65" s="7">
        <v>21992179</v>
      </c>
      <c r="J65" s="7" t="s">
        <v>147</v>
      </c>
      <c r="K65" s="7" t="s">
        <v>1303</v>
      </c>
      <c r="L65" s="7" t="s">
        <v>1153</v>
      </c>
      <c r="M65" s="7" t="s">
        <v>1152</v>
      </c>
      <c r="N65" s="7">
        <v>10000064</v>
      </c>
      <c r="O65" s="7" t="s">
        <v>28</v>
      </c>
      <c r="P65" s="7" t="s">
        <v>1151</v>
      </c>
      <c r="Q65" s="7">
        <v>346126</v>
      </c>
      <c r="R65" s="7" t="s">
        <v>1160</v>
      </c>
      <c r="S65" s="7" t="s">
        <v>1176</v>
      </c>
      <c r="T65" s="7">
        <v>3</v>
      </c>
      <c r="U65" s="7">
        <v>1847</v>
      </c>
      <c r="V65" s="7">
        <v>0</v>
      </c>
      <c r="W65" s="7">
        <v>27</v>
      </c>
      <c r="X65" s="7">
        <v>5542376474</v>
      </c>
      <c r="Y65" s="7">
        <v>5532510997</v>
      </c>
      <c r="Z65" s="7" t="s">
        <v>1302</v>
      </c>
      <c r="AA65" s="7" t="s">
        <v>1301</v>
      </c>
      <c r="AB65" s="7" t="s">
        <v>1266</v>
      </c>
      <c r="AC65" s="7">
        <v>19</v>
      </c>
    </row>
    <row r="66" spans="1:29" x14ac:dyDescent="0.45">
      <c r="A66" s="7">
        <v>710</v>
      </c>
      <c r="B66" s="7" t="s">
        <v>1156</v>
      </c>
      <c r="C66" s="7" t="s">
        <v>1155</v>
      </c>
      <c r="D66" s="7" t="s">
        <v>162</v>
      </c>
      <c r="E66" s="7" t="s">
        <v>39</v>
      </c>
      <c r="F66" s="7">
        <v>5596307630</v>
      </c>
      <c r="G66" s="8">
        <v>46041</v>
      </c>
      <c r="H66" s="7">
        <v>151220338</v>
      </c>
      <c r="I66" s="7">
        <v>20623743</v>
      </c>
      <c r="J66" s="7" t="s">
        <v>1173</v>
      </c>
      <c r="K66" s="7" t="s">
        <v>1300</v>
      </c>
      <c r="L66" s="7" t="s">
        <v>1299</v>
      </c>
      <c r="M66" s="7" t="s">
        <v>1152</v>
      </c>
      <c r="N66" s="7">
        <v>10000064</v>
      </c>
      <c r="O66" s="7" t="s">
        <v>28</v>
      </c>
      <c r="P66" s="7" t="s">
        <v>1151</v>
      </c>
      <c r="Q66" s="7">
        <v>339998</v>
      </c>
      <c r="R66" s="7" t="s">
        <v>1160</v>
      </c>
      <c r="S66" s="7" t="s">
        <v>1190</v>
      </c>
      <c r="T66" s="7">
        <v>2</v>
      </c>
      <c r="U66" s="7">
        <v>798</v>
      </c>
      <c r="V66" s="7">
        <v>414</v>
      </c>
      <c r="W66" s="7">
        <v>13</v>
      </c>
      <c r="X66" s="7">
        <v>5620618602</v>
      </c>
      <c r="Y66" s="7">
        <v>5620618602</v>
      </c>
      <c r="Z66" s="7" t="s">
        <v>1298</v>
      </c>
      <c r="AA66" s="7" t="s">
        <v>1297</v>
      </c>
      <c r="AB66" s="7" t="s">
        <v>1192</v>
      </c>
      <c r="AC66" s="7">
        <v>22</v>
      </c>
    </row>
    <row r="67" spans="1:29" x14ac:dyDescent="0.45">
      <c r="A67" s="7">
        <v>710</v>
      </c>
      <c r="B67" s="7" t="s">
        <v>1156</v>
      </c>
      <c r="C67" s="7" t="s">
        <v>1155</v>
      </c>
      <c r="D67" s="7" t="s">
        <v>162</v>
      </c>
      <c r="E67" s="7" t="s">
        <v>55</v>
      </c>
      <c r="F67" s="7">
        <v>5524652211</v>
      </c>
      <c r="G67" s="8">
        <v>46086</v>
      </c>
      <c r="H67" s="7">
        <v>151379104</v>
      </c>
      <c r="I67" s="7">
        <v>22700772</v>
      </c>
      <c r="J67" s="7" t="s">
        <v>147</v>
      </c>
      <c r="K67" s="7" t="s">
        <v>1296</v>
      </c>
      <c r="L67" s="7" t="s">
        <v>1246</v>
      </c>
      <c r="M67" s="7" t="s">
        <v>1152</v>
      </c>
      <c r="N67" s="7">
        <v>10000064</v>
      </c>
      <c r="O67" s="7" t="s">
        <v>28</v>
      </c>
      <c r="P67" s="7" t="s">
        <v>1151</v>
      </c>
      <c r="Q67" s="7">
        <v>350703</v>
      </c>
      <c r="R67" s="7" t="s">
        <v>1160</v>
      </c>
      <c r="S67" s="7" t="s">
        <v>1176</v>
      </c>
      <c r="T67" s="7">
        <v>2</v>
      </c>
      <c r="U67" s="7">
        <v>1398</v>
      </c>
      <c r="V67" s="7">
        <v>0</v>
      </c>
      <c r="W67" s="7">
        <v>4</v>
      </c>
      <c r="X67" s="7">
        <v>5647794548</v>
      </c>
      <c r="Y67" s="7">
        <v>5633172418</v>
      </c>
      <c r="Z67" s="7" t="s">
        <v>1295</v>
      </c>
      <c r="AA67" s="7" t="s">
        <v>1294</v>
      </c>
      <c r="AB67" s="7"/>
      <c r="AC67" s="7"/>
    </row>
    <row r="68" spans="1:29" x14ac:dyDescent="0.45">
      <c r="A68" s="7">
        <v>710</v>
      </c>
      <c r="B68" s="7" t="s">
        <v>1156</v>
      </c>
      <c r="C68" s="7" t="s">
        <v>1155</v>
      </c>
      <c r="D68" s="7" t="s">
        <v>162</v>
      </c>
      <c r="E68" s="7" t="s">
        <v>55</v>
      </c>
      <c r="F68" s="7">
        <v>5593042228</v>
      </c>
      <c r="G68" s="8">
        <v>46087</v>
      </c>
      <c r="H68" s="7">
        <v>151381611</v>
      </c>
      <c r="I68" s="7">
        <v>22726037</v>
      </c>
      <c r="J68" s="7" t="s">
        <v>147</v>
      </c>
      <c r="K68" s="7" t="s">
        <v>1293</v>
      </c>
      <c r="L68" s="7" t="s">
        <v>1246</v>
      </c>
      <c r="M68" s="7" t="s">
        <v>1152</v>
      </c>
      <c r="N68" s="7">
        <v>10000064</v>
      </c>
      <c r="O68" s="7" t="s">
        <v>28</v>
      </c>
      <c r="P68" s="7" t="s">
        <v>1151</v>
      </c>
      <c r="Q68" s="7">
        <v>351037</v>
      </c>
      <c r="R68" s="7" t="s">
        <v>1160</v>
      </c>
      <c r="S68" s="7" t="s">
        <v>1149</v>
      </c>
      <c r="T68" s="7">
        <v>2</v>
      </c>
      <c r="U68" s="7">
        <v>747</v>
      </c>
      <c r="V68" s="7">
        <v>0</v>
      </c>
      <c r="W68" s="7">
        <v>4</v>
      </c>
      <c r="X68" s="7">
        <v>5527067047</v>
      </c>
      <c r="Y68" s="7">
        <v>5527067047</v>
      </c>
      <c r="Z68" s="7" t="s">
        <v>1292</v>
      </c>
      <c r="AA68" s="7" t="s">
        <v>1291</v>
      </c>
      <c r="AB68" s="7"/>
      <c r="AC68" s="7"/>
    </row>
    <row r="69" spans="1:29" x14ac:dyDescent="0.45">
      <c r="A69" s="7">
        <v>710</v>
      </c>
      <c r="B69" s="7" t="s">
        <v>1156</v>
      </c>
      <c r="C69" s="7" t="s">
        <v>1155</v>
      </c>
      <c r="D69" s="7" t="s">
        <v>150</v>
      </c>
      <c r="E69" s="7" t="s">
        <v>42</v>
      </c>
      <c r="F69" s="7">
        <v>5555559302</v>
      </c>
      <c r="G69" s="8">
        <v>46043</v>
      </c>
      <c r="H69" s="7">
        <v>151295966</v>
      </c>
      <c r="I69" s="7">
        <v>21688143</v>
      </c>
      <c r="J69" s="7" t="s">
        <v>147</v>
      </c>
      <c r="K69" s="7" t="s">
        <v>1290</v>
      </c>
      <c r="L69" s="7" t="s">
        <v>1153</v>
      </c>
      <c r="M69" s="7" t="s">
        <v>1152</v>
      </c>
      <c r="N69" s="7">
        <v>10000064</v>
      </c>
      <c r="O69" s="7" t="s">
        <v>28</v>
      </c>
      <c r="P69" s="7" t="s">
        <v>1151</v>
      </c>
      <c r="Q69" s="7">
        <v>346072</v>
      </c>
      <c r="R69" s="7" t="s">
        <v>1160</v>
      </c>
      <c r="S69" s="7" t="s">
        <v>1149</v>
      </c>
      <c r="T69" s="7">
        <v>2</v>
      </c>
      <c r="U69" s="7">
        <v>1158</v>
      </c>
      <c r="V69" s="7">
        <v>1098.02</v>
      </c>
      <c r="W69" s="7">
        <v>17</v>
      </c>
      <c r="X69" s="7">
        <v>5522406746</v>
      </c>
      <c r="Y69" s="7">
        <v>5564463933</v>
      </c>
      <c r="Z69" s="7" t="s">
        <v>1289</v>
      </c>
      <c r="AA69" s="7" t="s">
        <v>1288</v>
      </c>
      <c r="AB69" s="7" t="s">
        <v>1192</v>
      </c>
      <c r="AC69" s="7">
        <v>22</v>
      </c>
    </row>
    <row r="70" spans="1:29" x14ac:dyDescent="0.45">
      <c r="A70" s="7">
        <v>710</v>
      </c>
      <c r="B70" s="7" t="s">
        <v>1156</v>
      </c>
      <c r="C70" s="7" t="s">
        <v>1155</v>
      </c>
      <c r="D70" s="7" t="s">
        <v>150</v>
      </c>
      <c r="E70" s="7" t="s">
        <v>101</v>
      </c>
      <c r="F70" s="7">
        <v>5511698575</v>
      </c>
      <c r="G70" s="8">
        <v>46049</v>
      </c>
      <c r="H70" s="7">
        <v>151317824</v>
      </c>
      <c r="I70" s="7">
        <v>21972790</v>
      </c>
      <c r="J70" s="7" t="s">
        <v>147</v>
      </c>
      <c r="K70" s="7" t="s">
        <v>1287</v>
      </c>
      <c r="L70" s="7" t="s">
        <v>1286</v>
      </c>
      <c r="M70" s="7" t="s">
        <v>1152</v>
      </c>
      <c r="N70" s="7">
        <v>10000064</v>
      </c>
      <c r="O70" s="7" t="s">
        <v>28</v>
      </c>
      <c r="P70" s="7" t="s">
        <v>1151</v>
      </c>
      <c r="Q70" s="7">
        <v>346196</v>
      </c>
      <c r="R70" s="7" t="s">
        <v>1160</v>
      </c>
      <c r="S70" s="7" t="s">
        <v>1149</v>
      </c>
      <c r="T70" s="7">
        <v>3</v>
      </c>
      <c r="U70" s="7">
        <v>1897</v>
      </c>
      <c r="V70" s="7">
        <v>0</v>
      </c>
      <c r="W70" s="7">
        <v>24</v>
      </c>
      <c r="X70" s="7">
        <v>5560456305</v>
      </c>
      <c r="Y70" s="7">
        <v>5637705313</v>
      </c>
      <c r="Z70" s="7" t="s">
        <v>1285</v>
      </c>
      <c r="AA70" s="7" t="s">
        <v>1284</v>
      </c>
      <c r="AB70" s="7" t="s">
        <v>1266</v>
      </c>
      <c r="AC70" s="7">
        <v>17</v>
      </c>
    </row>
    <row r="71" spans="1:29" x14ac:dyDescent="0.45">
      <c r="A71" s="7">
        <v>710</v>
      </c>
      <c r="B71" s="7" t="s">
        <v>1156</v>
      </c>
      <c r="C71" s="7" t="s">
        <v>1155</v>
      </c>
      <c r="D71" s="7" t="s">
        <v>162</v>
      </c>
      <c r="E71" s="7" t="s">
        <v>39</v>
      </c>
      <c r="F71" s="7">
        <v>5558505395</v>
      </c>
      <c r="G71" s="8">
        <v>46027</v>
      </c>
      <c r="H71" s="7">
        <v>151273590</v>
      </c>
      <c r="I71" s="7">
        <v>21402065</v>
      </c>
      <c r="J71" s="7" t="s">
        <v>147</v>
      </c>
      <c r="K71" s="7" t="s">
        <v>1283</v>
      </c>
      <c r="L71" s="7" t="s">
        <v>1161</v>
      </c>
      <c r="M71" s="7" t="s">
        <v>1152</v>
      </c>
      <c r="N71" s="7">
        <v>10000064</v>
      </c>
      <c r="O71" s="7" t="s">
        <v>28</v>
      </c>
      <c r="P71" s="7" t="s">
        <v>1151</v>
      </c>
      <c r="Q71" s="7">
        <v>346126</v>
      </c>
      <c r="R71" s="7" t="s">
        <v>1160</v>
      </c>
      <c r="S71" s="7" t="s">
        <v>1176</v>
      </c>
      <c r="T71" s="7">
        <v>4</v>
      </c>
      <c r="U71" s="7">
        <v>1498</v>
      </c>
      <c r="V71" s="7">
        <v>0</v>
      </c>
      <c r="W71" s="7">
        <v>2</v>
      </c>
      <c r="X71" s="7">
        <v>6644115833</v>
      </c>
      <c r="Y71" s="7">
        <v>5542376474</v>
      </c>
      <c r="Z71" s="7" t="s">
        <v>1282</v>
      </c>
      <c r="AA71" s="7" t="s">
        <v>1281</v>
      </c>
      <c r="AB71" s="7" t="s">
        <v>1192</v>
      </c>
      <c r="AC71" s="7">
        <v>14</v>
      </c>
    </row>
    <row r="72" spans="1:29" x14ac:dyDescent="0.45">
      <c r="A72" s="7">
        <v>710</v>
      </c>
      <c r="B72" s="7" t="s">
        <v>1156</v>
      </c>
      <c r="C72" s="7" t="s">
        <v>1155</v>
      </c>
      <c r="D72" s="7" t="s">
        <v>162</v>
      </c>
      <c r="E72" s="7" t="s">
        <v>55</v>
      </c>
      <c r="F72" s="7">
        <v>5596847593</v>
      </c>
      <c r="G72" s="8">
        <v>46041</v>
      </c>
      <c r="H72" s="7">
        <v>151293880</v>
      </c>
      <c r="I72" s="7">
        <v>21665719</v>
      </c>
      <c r="J72" s="7" t="s">
        <v>147</v>
      </c>
      <c r="K72" s="7" t="s">
        <v>1280</v>
      </c>
      <c r="L72" s="7" t="s">
        <v>1279</v>
      </c>
      <c r="M72" s="7" t="s">
        <v>1152</v>
      </c>
      <c r="N72" s="7">
        <v>10001013</v>
      </c>
      <c r="O72" s="7" t="s">
        <v>28</v>
      </c>
      <c r="P72" s="7" t="s">
        <v>1151</v>
      </c>
      <c r="Q72" s="7">
        <v>325078</v>
      </c>
      <c r="R72" s="7" t="s">
        <v>1160</v>
      </c>
      <c r="S72" s="7" t="s">
        <v>1233</v>
      </c>
      <c r="T72" s="7">
        <v>2</v>
      </c>
      <c r="U72" s="7">
        <v>997</v>
      </c>
      <c r="V72" s="7">
        <v>0</v>
      </c>
      <c r="W72" s="7">
        <v>15</v>
      </c>
      <c r="X72" s="7">
        <v>5652411280</v>
      </c>
      <c r="Y72" s="7">
        <v>5645193094</v>
      </c>
      <c r="Z72" s="7" t="s">
        <v>1278</v>
      </c>
      <c r="AA72" s="7" t="s">
        <v>1277</v>
      </c>
      <c r="AB72" s="7"/>
      <c r="AC72" s="7"/>
    </row>
    <row r="73" spans="1:29" x14ac:dyDescent="0.45">
      <c r="A73" s="7">
        <v>710</v>
      </c>
      <c r="B73" s="7" t="s">
        <v>1156</v>
      </c>
      <c r="C73" s="7" t="s">
        <v>1155</v>
      </c>
      <c r="D73" s="7" t="s">
        <v>150</v>
      </c>
      <c r="E73" s="7" t="s">
        <v>101</v>
      </c>
      <c r="F73" s="7">
        <v>5526393710</v>
      </c>
      <c r="G73" s="8">
        <v>46065</v>
      </c>
      <c r="H73" s="7">
        <v>151345417</v>
      </c>
      <c r="I73" s="7">
        <v>22295967</v>
      </c>
      <c r="J73" s="7" t="s">
        <v>1173</v>
      </c>
      <c r="K73" s="7" t="s">
        <v>1276</v>
      </c>
      <c r="L73" s="7" t="s">
        <v>1177</v>
      </c>
      <c r="M73" s="7" t="s">
        <v>1152</v>
      </c>
      <c r="N73" s="7">
        <v>10000064</v>
      </c>
      <c r="O73" s="7" t="s">
        <v>28</v>
      </c>
      <c r="P73" s="7" t="s">
        <v>1151</v>
      </c>
      <c r="Q73" s="7">
        <v>346072</v>
      </c>
      <c r="R73" s="7" t="s">
        <v>1160</v>
      </c>
      <c r="S73" s="7" t="s">
        <v>1275</v>
      </c>
      <c r="T73" s="7">
        <v>3</v>
      </c>
      <c r="U73" s="7">
        <v>2195</v>
      </c>
      <c r="V73" s="7">
        <v>2</v>
      </c>
      <c r="W73" s="7">
        <v>7</v>
      </c>
      <c r="X73" s="7">
        <v>5510563000</v>
      </c>
      <c r="Y73" s="7">
        <v>5658301189</v>
      </c>
      <c r="Z73" s="7" t="s">
        <v>1274</v>
      </c>
      <c r="AA73" s="7" t="s">
        <v>1273</v>
      </c>
      <c r="AB73" s="7" t="s">
        <v>1167</v>
      </c>
      <c r="AC73" s="7">
        <v>20</v>
      </c>
    </row>
    <row r="74" spans="1:29" x14ac:dyDescent="0.45">
      <c r="A74" s="7">
        <v>710</v>
      </c>
      <c r="B74" s="7" t="s">
        <v>1156</v>
      </c>
      <c r="C74" s="7" t="s">
        <v>1155</v>
      </c>
      <c r="D74" s="7" t="s">
        <v>162</v>
      </c>
      <c r="E74" s="7" t="s">
        <v>39</v>
      </c>
      <c r="F74" s="7">
        <v>5524721038</v>
      </c>
      <c r="G74" s="8">
        <v>46085</v>
      </c>
      <c r="H74" s="7">
        <v>151383206</v>
      </c>
      <c r="I74" s="7">
        <v>22765664</v>
      </c>
      <c r="J74" s="7" t="s">
        <v>147</v>
      </c>
      <c r="K74" s="7" t="s">
        <v>1272</v>
      </c>
      <c r="L74" s="7" t="s">
        <v>1161</v>
      </c>
      <c r="M74" s="7" t="s">
        <v>1152</v>
      </c>
      <c r="N74" s="7">
        <v>10000064</v>
      </c>
      <c r="O74" s="7" t="s">
        <v>28</v>
      </c>
      <c r="P74" s="7" t="s">
        <v>1151</v>
      </c>
      <c r="Q74" s="7">
        <v>350703</v>
      </c>
      <c r="R74" s="7" t="s">
        <v>1160</v>
      </c>
      <c r="S74" s="7" t="s">
        <v>1204</v>
      </c>
      <c r="T74" s="7">
        <v>2</v>
      </c>
      <c r="U74" s="7">
        <v>1459</v>
      </c>
      <c r="V74" s="7">
        <v>0</v>
      </c>
      <c r="W74" s="7">
        <v>2</v>
      </c>
      <c r="X74" s="7">
        <v>5611628271</v>
      </c>
      <c r="Y74" s="7">
        <v>7207456490</v>
      </c>
      <c r="Z74" s="7" t="s">
        <v>1271</v>
      </c>
      <c r="AA74" s="7" t="s">
        <v>1270</v>
      </c>
      <c r="AB74" s="7" t="s">
        <v>1266</v>
      </c>
      <c r="AC74" s="7">
        <v>14</v>
      </c>
    </row>
    <row r="75" spans="1:29" x14ac:dyDescent="0.45">
      <c r="A75" s="7">
        <v>710</v>
      </c>
      <c r="B75" s="7" t="s">
        <v>1156</v>
      </c>
      <c r="C75" s="7" t="s">
        <v>1155</v>
      </c>
      <c r="D75" s="7" t="s">
        <v>150</v>
      </c>
      <c r="E75" s="7" t="s">
        <v>101</v>
      </c>
      <c r="F75" s="7">
        <v>5591749062</v>
      </c>
      <c r="G75" s="8">
        <v>46036</v>
      </c>
      <c r="H75" s="7">
        <v>151284161</v>
      </c>
      <c r="I75" s="7">
        <v>21506817</v>
      </c>
      <c r="J75" s="7" t="s">
        <v>147</v>
      </c>
      <c r="K75" s="7" t="s">
        <v>1269</v>
      </c>
      <c r="L75" s="7" t="s">
        <v>1181</v>
      </c>
      <c r="M75" s="7" t="s">
        <v>1152</v>
      </c>
      <c r="N75" s="7">
        <v>10001013</v>
      </c>
      <c r="O75" s="7" t="s">
        <v>28</v>
      </c>
      <c r="P75" s="7" t="s">
        <v>1151</v>
      </c>
      <c r="Q75" s="7">
        <v>325078</v>
      </c>
      <c r="R75" s="7" t="s">
        <v>1160</v>
      </c>
      <c r="S75" s="7" t="s">
        <v>1149</v>
      </c>
      <c r="T75" s="7">
        <v>1</v>
      </c>
      <c r="U75" s="7">
        <v>979</v>
      </c>
      <c r="V75" s="7">
        <v>1259</v>
      </c>
      <c r="W75" s="7">
        <v>9</v>
      </c>
      <c r="X75" s="7">
        <v>5512496660</v>
      </c>
      <c r="Y75" s="7">
        <v>5516817984</v>
      </c>
      <c r="Z75" s="7" t="s">
        <v>1268</v>
      </c>
      <c r="AA75" s="7" t="s">
        <v>1267</v>
      </c>
      <c r="AB75" s="7" t="s">
        <v>1266</v>
      </c>
      <c r="AC75" s="7">
        <v>12</v>
      </c>
    </row>
    <row r="76" spans="1:29" x14ac:dyDescent="0.45">
      <c r="A76" s="7">
        <v>710</v>
      </c>
      <c r="B76" s="7" t="s">
        <v>1156</v>
      </c>
      <c r="C76" s="7" t="s">
        <v>1155</v>
      </c>
      <c r="D76" s="7" t="s">
        <v>150</v>
      </c>
      <c r="E76" s="7" t="s">
        <v>42</v>
      </c>
      <c r="F76" s="7">
        <v>5556443529</v>
      </c>
      <c r="G76" s="8">
        <v>46038</v>
      </c>
      <c r="H76" s="7">
        <v>151293064</v>
      </c>
      <c r="I76" s="7">
        <v>21616986</v>
      </c>
      <c r="J76" s="7" t="s">
        <v>1173</v>
      </c>
      <c r="K76" s="7" t="s">
        <v>1265</v>
      </c>
      <c r="L76" s="7" t="s">
        <v>1214</v>
      </c>
      <c r="M76" s="7" t="s">
        <v>144</v>
      </c>
      <c r="N76" s="7">
        <v>10000064</v>
      </c>
      <c r="O76" s="7" t="s">
        <v>28</v>
      </c>
      <c r="P76" s="7" t="s">
        <v>1151</v>
      </c>
      <c r="Q76" s="7">
        <v>346072</v>
      </c>
      <c r="R76" s="7" t="s">
        <v>1160</v>
      </c>
      <c r="S76" s="7" t="s">
        <v>1240</v>
      </c>
      <c r="T76" s="7">
        <v>1</v>
      </c>
      <c r="U76" s="7">
        <v>898</v>
      </c>
      <c r="V76" s="7">
        <v>1198</v>
      </c>
      <c r="W76" s="7">
        <v>11</v>
      </c>
      <c r="X76" s="7">
        <v>5525151797</v>
      </c>
      <c r="Y76" s="7">
        <v>5525151779</v>
      </c>
      <c r="Z76" s="7" t="s">
        <v>1264</v>
      </c>
      <c r="AA76" s="7"/>
      <c r="AB76" s="7" t="s">
        <v>1187</v>
      </c>
      <c r="AC76" s="7">
        <v>5</v>
      </c>
    </row>
    <row r="77" spans="1:29" x14ac:dyDescent="0.45">
      <c r="A77" s="7">
        <v>710</v>
      </c>
      <c r="B77" s="7" t="s">
        <v>1156</v>
      </c>
      <c r="C77" s="7" t="s">
        <v>1155</v>
      </c>
      <c r="D77" s="7" t="s">
        <v>150</v>
      </c>
      <c r="E77" s="7" t="s">
        <v>42</v>
      </c>
      <c r="F77" s="7">
        <v>5550873837</v>
      </c>
      <c r="G77" s="8">
        <v>46045</v>
      </c>
      <c r="H77" s="7">
        <v>151309189</v>
      </c>
      <c r="I77" s="7">
        <v>21872792</v>
      </c>
      <c r="J77" s="7" t="s">
        <v>147</v>
      </c>
      <c r="K77" s="7" t="s">
        <v>1263</v>
      </c>
      <c r="L77" s="7" t="s">
        <v>1153</v>
      </c>
      <c r="M77" s="7" t="s">
        <v>1152</v>
      </c>
      <c r="N77" s="7">
        <v>10000064</v>
      </c>
      <c r="O77" s="7" t="s">
        <v>28</v>
      </c>
      <c r="P77" s="7" t="s">
        <v>1151</v>
      </c>
      <c r="Q77" s="7">
        <v>346072</v>
      </c>
      <c r="R77" s="7" t="s">
        <v>1160</v>
      </c>
      <c r="S77" s="7" t="s">
        <v>1176</v>
      </c>
      <c r="T77" s="7">
        <v>3</v>
      </c>
      <c r="U77" s="7">
        <v>1747</v>
      </c>
      <c r="V77" s="7">
        <v>0</v>
      </c>
      <c r="W77" s="7">
        <v>18</v>
      </c>
      <c r="X77" s="7">
        <v>5617055162</v>
      </c>
      <c r="Y77" s="7">
        <v>5617055126</v>
      </c>
      <c r="Z77" s="7" t="s">
        <v>1262</v>
      </c>
      <c r="AA77" s="7" t="s">
        <v>1261</v>
      </c>
      <c r="AB77" s="7" t="s">
        <v>1183</v>
      </c>
      <c r="AC77" s="7">
        <v>3</v>
      </c>
    </row>
    <row r="78" spans="1:29" x14ac:dyDescent="0.45">
      <c r="A78" s="7">
        <v>710</v>
      </c>
      <c r="B78" s="7" t="s">
        <v>1156</v>
      </c>
      <c r="C78" s="7" t="s">
        <v>1155</v>
      </c>
      <c r="D78" s="7" t="s">
        <v>150</v>
      </c>
      <c r="E78" s="7" t="s">
        <v>101</v>
      </c>
      <c r="F78" s="7">
        <v>5551317923</v>
      </c>
      <c r="G78" s="8">
        <v>46093</v>
      </c>
      <c r="H78" s="7">
        <v>151388766</v>
      </c>
      <c r="I78" s="7">
        <v>22808562</v>
      </c>
      <c r="J78" s="7" t="s">
        <v>1173</v>
      </c>
      <c r="K78" s="7" t="s">
        <v>1260</v>
      </c>
      <c r="L78" s="7" t="s">
        <v>1177</v>
      </c>
      <c r="M78" s="7" t="s">
        <v>1152</v>
      </c>
      <c r="N78" s="7">
        <v>10000064</v>
      </c>
      <c r="O78" s="7" t="s">
        <v>28</v>
      </c>
      <c r="P78" s="7" t="s">
        <v>1151</v>
      </c>
      <c r="Q78" s="7">
        <v>346126</v>
      </c>
      <c r="R78" s="7" t="s">
        <v>1160</v>
      </c>
      <c r="S78" s="7" t="s">
        <v>1190</v>
      </c>
      <c r="T78" s="7">
        <v>1</v>
      </c>
      <c r="U78" s="7">
        <v>1290</v>
      </c>
      <c r="V78" s="7">
        <v>0</v>
      </c>
      <c r="W78" s="7">
        <v>7</v>
      </c>
      <c r="X78" s="7">
        <v>5557424511</v>
      </c>
      <c r="Y78" s="7">
        <v>5612937808</v>
      </c>
      <c r="Z78" s="7" t="s">
        <v>1259</v>
      </c>
      <c r="AA78" s="7" t="s">
        <v>1188</v>
      </c>
      <c r="AB78" s="7" t="s">
        <v>1258</v>
      </c>
      <c r="AC78" s="7">
        <v>6</v>
      </c>
    </row>
    <row r="79" spans="1:29" x14ac:dyDescent="0.45">
      <c r="A79" s="7">
        <v>710</v>
      </c>
      <c r="B79" s="7" t="s">
        <v>1156</v>
      </c>
      <c r="C79" s="7" t="s">
        <v>1155</v>
      </c>
      <c r="D79" s="7" t="s">
        <v>150</v>
      </c>
      <c r="E79" s="7" t="s">
        <v>36</v>
      </c>
      <c r="F79" s="7">
        <v>5515592087</v>
      </c>
      <c r="G79" s="8">
        <v>46121</v>
      </c>
      <c r="H79" s="7">
        <v>151443918</v>
      </c>
      <c r="I79" s="7">
        <v>24068820</v>
      </c>
      <c r="J79" s="7" t="s">
        <v>147</v>
      </c>
      <c r="K79" s="7" t="s">
        <v>1257</v>
      </c>
      <c r="L79" s="7" t="s">
        <v>1214</v>
      </c>
      <c r="M79" s="7" t="s">
        <v>1152</v>
      </c>
      <c r="N79" s="7">
        <v>10001013</v>
      </c>
      <c r="O79" s="7" t="s">
        <v>28</v>
      </c>
      <c r="P79" s="7" t="s">
        <v>1151</v>
      </c>
      <c r="Q79" s="7">
        <v>348467</v>
      </c>
      <c r="R79" s="7" t="s">
        <v>1160</v>
      </c>
      <c r="S79" s="7" t="s">
        <v>1222</v>
      </c>
      <c r="T79" s="7">
        <v>1</v>
      </c>
      <c r="U79" s="7">
        <v>1320</v>
      </c>
      <c r="V79" s="7">
        <v>0</v>
      </c>
      <c r="W79" s="7">
        <v>3</v>
      </c>
      <c r="X79" s="7">
        <v>5540876577</v>
      </c>
      <c r="Y79" s="7">
        <v>5540876577</v>
      </c>
      <c r="Z79" s="7" t="s">
        <v>1256</v>
      </c>
      <c r="AA79" s="7" t="s">
        <v>1255</v>
      </c>
      <c r="AB79" s="7" t="s">
        <v>1183</v>
      </c>
      <c r="AC79" s="7">
        <v>0</v>
      </c>
    </row>
    <row r="80" spans="1:29" x14ac:dyDescent="0.45">
      <c r="A80" s="7">
        <v>710</v>
      </c>
      <c r="B80" s="7" t="s">
        <v>1156</v>
      </c>
      <c r="C80" s="7" t="s">
        <v>1155</v>
      </c>
      <c r="D80" s="7" t="s">
        <v>162</v>
      </c>
      <c r="E80" s="7" t="s">
        <v>55</v>
      </c>
      <c r="F80" s="7">
        <v>5592631719</v>
      </c>
      <c r="G80" s="8">
        <v>46027</v>
      </c>
      <c r="H80" s="7">
        <v>151270149</v>
      </c>
      <c r="I80" s="7">
        <v>21325056</v>
      </c>
      <c r="J80" s="7" t="s">
        <v>147</v>
      </c>
      <c r="K80" s="7" t="s">
        <v>1254</v>
      </c>
      <c r="L80" s="7" t="s">
        <v>1246</v>
      </c>
      <c r="M80" s="7" t="s">
        <v>1152</v>
      </c>
      <c r="N80" s="7">
        <v>10000064</v>
      </c>
      <c r="O80" s="7" t="s">
        <v>28</v>
      </c>
      <c r="P80" s="7" t="s">
        <v>1151</v>
      </c>
      <c r="Q80" s="7">
        <v>346196</v>
      </c>
      <c r="R80" s="7" t="s">
        <v>1160</v>
      </c>
      <c r="S80" s="7" t="s">
        <v>1253</v>
      </c>
      <c r="T80" s="7">
        <v>2</v>
      </c>
      <c r="U80" s="7">
        <v>1450</v>
      </c>
      <c r="V80" s="7">
        <v>1425</v>
      </c>
      <c r="W80" s="7">
        <v>4</v>
      </c>
      <c r="X80" s="7">
        <v>5542754813</v>
      </c>
      <c r="Y80" s="7">
        <v>5577672522</v>
      </c>
      <c r="Z80" s="7" t="s">
        <v>1252</v>
      </c>
      <c r="AA80" s="7" t="s">
        <v>1251</v>
      </c>
      <c r="AB80" s="7"/>
      <c r="AC80" s="7"/>
    </row>
    <row r="81" spans="1:29" x14ac:dyDescent="0.45">
      <c r="A81" s="7">
        <v>710</v>
      </c>
      <c r="B81" s="7" t="s">
        <v>1156</v>
      </c>
      <c r="C81" s="7" t="s">
        <v>1155</v>
      </c>
      <c r="D81" s="7" t="s">
        <v>162</v>
      </c>
      <c r="E81" s="7" t="s">
        <v>55</v>
      </c>
      <c r="F81" s="7">
        <v>5596821214</v>
      </c>
      <c r="G81" s="8">
        <v>46086</v>
      </c>
      <c r="H81" s="7">
        <v>151379133</v>
      </c>
      <c r="I81" s="7">
        <v>22701348</v>
      </c>
      <c r="J81" s="7" t="s">
        <v>147</v>
      </c>
      <c r="K81" s="7" t="s">
        <v>1250</v>
      </c>
      <c r="L81" s="7" t="s">
        <v>1246</v>
      </c>
      <c r="M81" s="7" t="s">
        <v>1152</v>
      </c>
      <c r="N81" s="7">
        <v>10000064</v>
      </c>
      <c r="O81" s="7" t="s">
        <v>28</v>
      </c>
      <c r="P81" s="7" t="s">
        <v>1151</v>
      </c>
      <c r="Q81" s="7">
        <v>350703</v>
      </c>
      <c r="R81" s="7" t="s">
        <v>1160</v>
      </c>
      <c r="S81" s="7" t="s">
        <v>1149</v>
      </c>
      <c r="T81" s="7">
        <v>2</v>
      </c>
      <c r="U81" s="7">
        <v>753</v>
      </c>
      <c r="V81" s="7">
        <v>0</v>
      </c>
      <c r="W81" s="7">
        <v>4</v>
      </c>
      <c r="X81" s="7">
        <v>5634867155</v>
      </c>
      <c r="Y81" s="7">
        <v>5516406628</v>
      </c>
      <c r="Z81" s="7" t="s">
        <v>1249</v>
      </c>
      <c r="AA81" s="7" t="s">
        <v>1248</v>
      </c>
      <c r="AB81" s="7"/>
      <c r="AC81" s="7"/>
    </row>
    <row r="82" spans="1:29" x14ac:dyDescent="0.45">
      <c r="A82" s="7">
        <v>710</v>
      </c>
      <c r="B82" s="7" t="s">
        <v>1156</v>
      </c>
      <c r="C82" s="7" t="s">
        <v>1155</v>
      </c>
      <c r="D82" s="7" t="s">
        <v>162</v>
      </c>
      <c r="E82" s="7" t="s">
        <v>55</v>
      </c>
      <c r="F82" s="7">
        <v>5591806941</v>
      </c>
      <c r="G82" s="8">
        <v>46094</v>
      </c>
      <c r="H82" s="7">
        <v>151401217</v>
      </c>
      <c r="I82" s="7">
        <v>22982670</v>
      </c>
      <c r="J82" s="7" t="s">
        <v>147</v>
      </c>
      <c r="K82" s="7" t="s">
        <v>1247</v>
      </c>
      <c r="L82" s="7" t="s">
        <v>1246</v>
      </c>
      <c r="M82" s="7" t="s">
        <v>1152</v>
      </c>
      <c r="N82" s="7">
        <v>10000064</v>
      </c>
      <c r="O82" s="7" t="s">
        <v>28</v>
      </c>
      <c r="P82" s="7" t="s">
        <v>1151</v>
      </c>
      <c r="Q82" s="7">
        <v>351037</v>
      </c>
      <c r="R82" s="7" t="s">
        <v>1160</v>
      </c>
      <c r="S82" s="7" t="s">
        <v>1245</v>
      </c>
      <c r="T82" s="7">
        <v>1</v>
      </c>
      <c r="U82" s="7">
        <v>1398</v>
      </c>
      <c r="V82" s="7">
        <v>0</v>
      </c>
      <c r="W82" s="7">
        <v>7</v>
      </c>
      <c r="X82" s="7">
        <v>5612866980</v>
      </c>
      <c r="Y82" s="7">
        <v>5664593409</v>
      </c>
      <c r="Z82" s="7" t="s">
        <v>1244</v>
      </c>
      <c r="AA82" s="7" t="s">
        <v>1243</v>
      </c>
      <c r="AB82" s="7" t="s">
        <v>1183</v>
      </c>
      <c r="AC82" s="7">
        <v>21</v>
      </c>
    </row>
    <row r="83" spans="1:29" x14ac:dyDescent="0.45">
      <c r="A83" s="7">
        <v>710</v>
      </c>
      <c r="B83" s="7" t="s">
        <v>1156</v>
      </c>
      <c r="C83" s="7" t="s">
        <v>1155</v>
      </c>
      <c r="D83" s="7" t="s">
        <v>150</v>
      </c>
      <c r="E83" s="7" t="s">
        <v>42</v>
      </c>
      <c r="F83" s="7">
        <v>5543177320</v>
      </c>
      <c r="G83" s="8">
        <v>46087</v>
      </c>
      <c r="H83" s="7">
        <v>151386732</v>
      </c>
      <c r="I83" s="7">
        <v>22783613</v>
      </c>
      <c r="J83" s="7" t="s">
        <v>1173</v>
      </c>
      <c r="K83" s="7" t="s">
        <v>1242</v>
      </c>
      <c r="L83" s="7" t="s">
        <v>1241</v>
      </c>
      <c r="M83" s="7" t="s">
        <v>1152</v>
      </c>
      <c r="N83" s="7">
        <v>10001013</v>
      </c>
      <c r="O83" s="7" t="s">
        <v>28</v>
      </c>
      <c r="P83" s="7" t="s">
        <v>1151</v>
      </c>
      <c r="Q83" s="7">
        <v>345495</v>
      </c>
      <c r="R83" s="7" t="s">
        <v>1160</v>
      </c>
      <c r="S83" s="7" t="s">
        <v>1240</v>
      </c>
      <c r="T83" s="7">
        <v>2</v>
      </c>
      <c r="U83" s="7">
        <v>1298</v>
      </c>
      <c r="V83" s="7">
        <v>0</v>
      </c>
      <c r="W83" s="7">
        <v>4</v>
      </c>
      <c r="X83" s="7">
        <v>5543107835</v>
      </c>
      <c r="Y83" s="7">
        <v>5521103906</v>
      </c>
      <c r="Z83" s="7" t="s">
        <v>1239</v>
      </c>
      <c r="AA83" s="7" t="s">
        <v>1238</v>
      </c>
      <c r="AB83" s="7" t="s">
        <v>1187</v>
      </c>
      <c r="AC83" s="7">
        <v>15</v>
      </c>
    </row>
    <row r="84" spans="1:29" x14ac:dyDescent="0.45">
      <c r="A84" s="7">
        <v>710</v>
      </c>
      <c r="B84" s="7" t="s">
        <v>1156</v>
      </c>
      <c r="C84" s="7" t="s">
        <v>1155</v>
      </c>
      <c r="D84" s="7" t="s">
        <v>150</v>
      </c>
      <c r="E84" s="7" t="s">
        <v>42</v>
      </c>
      <c r="F84" s="7">
        <v>5556412654</v>
      </c>
      <c r="G84" s="8">
        <v>46116</v>
      </c>
      <c r="H84" s="7">
        <v>151437088</v>
      </c>
      <c r="I84" s="7">
        <v>24011181</v>
      </c>
      <c r="J84" s="7" t="s">
        <v>147</v>
      </c>
      <c r="K84" s="7" t="s">
        <v>1237</v>
      </c>
      <c r="L84" s="7" t="s">
        <v>1153</v>
      </c>
      <c r="M84" s="7" t="s">
        <v>1152</v>
      </c>
      <c r="N84" s="7">
        <v>10000064</v>
      </c>
      <c r="O84" s="7" t="s">
        <v>28</v>
      </c>
      <c r="P84" s="7" t="s">
        <v>1151</v>
      </c>
      <c r="Q84" s="7">
        <v>346072</v>
      </c>
      <c r="R84" s="7" t="s">
        <v>1160</v>
      </c>
      <c r="S84" s="7" t="s">
        <v>1149</v>
      </c>
      <c r="T84" s="7">
        <v>1</v>
      </c>
      <c r="U84" s="7">
        <v>1359</v>
      </c>
      <c r="V84" s="7">
        <v>0</v>
      </c>
      <c r="W84" s="7">
        <v>27</v>
      </c>
      <c r="X84" s="7">
        <v>7535396191</v>
      </c>
      <c r="Y84" s="7">
        <v>7535396191</v>
      </c>
      <c r="Z84" s="7" t="s">
        <v>1236</v>
      </c>
      <c r="AA84" s="7" t="s">
        <v>1235</v>
      </c>
      <c r="AB84" s="7" t="s">
        <v>1183</v>
      </c>
      <c r="AC84" s="7">
        <v>20</v>
      </c>
    </row>
    <row r="85" spans="1:29" x14ac:dyDescent="0.45">
      <c r="A85" s="7">
        <v>710</v>
      </c>
      <c r="B85" s="7" t="s">
        <v>1156</v>
      </c>
      <c r="C85" s="7" t="s">
        <v>1155</v>
      </c>
      <c r="D85" s="7" t="s">
        <v>162</v>
      </c>
      <c r="E85" s="7" t="s">
        <v>39</v>
      </c>
      <c r="F85" s="7">
        <v>5589430542</v>
      </c>
      <c r="G85" s="8">
        <v>46073</v>
      </c>
      <c r="H85" s="7">
        <v>151347004</v>
      </c>
      <c r="I85" s="7">
        <v>22319599</v>
      </c>
      <c r="J85" s="7" t="s">
        <v>147</v>
      </c>
      <c r="K85" s="7" t="s">
        <v>1234</v>
      </c>
      <c r="L85" s="7" t="s">
        <v>1161</v>
      </c>
      <c r="M85" s="7" t="s">
        <v>1152</v>
      </c>
      <c r="N85" s="7">
        <v>10000064</v>
      </c>
      <c r="O85" s="7" t="s">
        <v>28</v>
      </c>
      <c r="P85" s="7" t="s">
        <v>1151</v>
      </c>
      <c r="Q85" s="7">
        <v>349726</v>
      </c>
      <c r="R85" s="7" t="s">
        <v>1160</v>
      </c>
      <c r="S85" s="7" t="s">
        <v>1233</v>
      </c>
      <c r="T85" s="7">
        <v>2</v>
      </c>
      <c r="U85" s="7">
        <v>505</v>
      </c>
      <c r="V85" s="7">
        <v>0</v>
      </c>
      <c r="W85" s="7">
        <v>17</v>
      </c>
      <c r="X85" s="7">
        <v>5532370205</v>
      </c>
      <c r="Y85" s="7">
        <v>5529144608</v>
      </c>
      <c r="Z85" s="7" t="s">
        <v>1232</v>
      </c>
      <c r="AA85" s="7" t="s">
        <v>1231</v>
      </c>
      <c r="AB85" s="7"/>
      <c r="AC85" s="7"/>
    </row>
    <row r="86" spans="1:29" x14ac:dyDescent="0.45">
      <c r="A86" s="7">
        <v>710</v>
      </c>
      <c r="B86" s="7" t="s">
        <v>1156</v>
      </c>
      <c r="C86" s="7" t="s">
        <v>1155</v>
      </c>
      <c r="D86" s="7" t="s">
        <v>150</v>
      </c>
      <c r="E86" s="7" t="s">
        <v>61</v>
      </c>
      <c r="F86" s="7">
        <v>5519458939</v>
      </c>
      <c r="G86" s="8">
        <v>46095</v>
      </c>
      <c r="H86" s="7">
        <v>151396641</v>
      </c>
      <c r="I86" s="7">
        <v>22928773</v>
      </c>
      <c r="J86" s="7" t="s">
        <v>1173</v>
      </c>
      <c r="K86" s="7" t="s">
        <v>1230</v>
      </c>
      <c r="L86" s="7" t="s">
        <v>1181</v>
      </c>
      <c r="M86" s="7" t="s">
        <v>1152</v>
      </c>
      <c r="N86" s="7">
        <v>10000064</v>
      </c>
      <c r="O86" s="7" t="s">
        <v>28</v>
      </c>
      <c r="P86" s="7" t="s">
        <v>1151</v>
      </c>
      <c r="Q86" s="7">
        <v>351037</v>
      </c>
      <c r="R86" s="7" t="s">
        <v>1160</v>
      </c>
      <c r="S86" s="7" t="s">
        <v>1190</v>
      </c>
      <c r="T86" s="7">
        <v>1</v>
      </c>
      <c r="U86" s="7">
        <v>1375</v>
      </c>
      <c r="V86" s="7">
        <v>0</v>
      </c>
      <c r="W86" s="7">
        <v>9</v>
      </c>
      <c r="X86" s="7">
        <v>5627627021</v>
      </c>
      <c r="Y86" s="7">
        <v>5616030358</v>
      </c>
      <c r="Z86" s="7" t="s">
        <v>1229</v>
      </c>
      <c r="AA86" s="7" t="s">
        <v>1228</v>
      </c>
      <c r="AB86" s="7" t="s">
        <v>1227</v>
      </c>
      <c r="AC86" s="7">
        <v>12</v>
      </c>
    </row>
    <row r="87" spans="1:29" x14ac:dyDescent="0.45">
      <c r="A87" s="7">
        <v>710</v>
      </c>
      <c r="B87" s="7" t="s">
        <v>1156</v>
      </c>
      <c r="C87" s="7" t="s">
        <v>1155</v>
      </c>
      <c r="D87" s="7" t="s">
        <v>150</v>
      </c>
      <c r="E87" s="7" t="s">
        <v>45</v>
      </c>
      <c r="F87" s="7">
        <v>5598252063</v>
      </c>
      <c r="G87" s="8">
        <v>46029</v>
      </c>
      <c r="H87" s="7">
        <v>151264359</v>
      </c>
      <c r="I87" s="7">
        <v>21254379</v>
      </c>
      <c r="J87" s="7" t="s">
        <v>147</v>
      </c>
      <c r="K87" s="7" t="s">
        <v>1226</v>
      </c>
      <c r="L87" s="7" t="s">
        <v>1195</v>
      </c>
      <c r="M87" s="7" t="s">
        <v>1152</v>
      </c>
      <c r="N87" s="7">
        <v>10000064</v>
      </c>
      <c r="O87" s="7" t="s">
        <v>28</v>
      </c>
      <c r="P87" s="7" t="s">
        <v>1151</v>
      </c>
      <c r="Q87" s="7">
        <v>339998</v>
      </c>
      <c r="R87" s="7" t="s">
        <v>1160</v>
      </c>
      <c r="S87" s="7" t="s">
        <v>1149</v>
      </c>
      <c r="T87" s="7">
        <v>3</v>
      </c>
      <c r="U87" s="7">
        <v>1167</v>
      </c>
      <c r="V87" s="7">
        <v>413</v>
      </c>
      <c r="W87" s="7">
        <v>4</v>
      </c>
      <c r="X87" s="7">
        <v>5535876004</v>
      </c>
      <c r="Y87" s="7">
        <v>5535876004</v>
      </c>
      <c r="Z87" s="7" t="s">
        <v>1225</v>
      </c>
      <c r="AA87" s="7" t="s">
        <v>1224</v>
      </c>
      <c r="AB87" s="7"/>
      <c r="AC87" s="7"/>
    </row>
    <row r="88" spans="1:29" x14ac:dyDescent="0.45">
      <c r="A88" s="7">
        <v>710</v>
      </c>
      <c r="B88" s="7" t="s">
        <v>1156</v>
      </c>
      <c r="C88" s="7" t="s">
        <v>1155</v>
      </c>
      <c r="D88" s="7" t="s">
        <v>162</v>
      </c>
      <c r="E88" s="7" t="s">
        <v>39</v>
      </c>
      <c r="F88" s="7">
        <v>5596670262</v>
      </c>
      <c r="G88" s="8">
        <v>46086</v>
      </c>
      <c r="H88" s="7">
        <v>151375445</v>
      </c>
      <c r="I88" s="7">
        <v>22621589</v>
      </c>
      <c r="J88" s="7" t="s">
        <v>147</v>
      </c>
      <c r="K88" s="7" t="s">
        <v>1223</v>
      </c>
      <c r="L88" s="7" t="s">
        <v>1161</v>
      </c>
      <c r="M88" s="7" t="s">
        <v>1152</v>
      </c>
      <c r="N88" s="7">
        <v>10001013</v>
      </c>
      <c r="O88" s="7" t="s">
        <v>28</v>
      </c>
      <c r="P88" s="7" t="s">
        <v>1151</v>
      </c>
      <c r="Q88" s="7">
        <v>350677</v>
      </c>
      <c r="R88" s="7" t="s">
        <v>1160</v>
      </c>
      <c r="S88" s="7" t="s">
        <v>1222</v>
      </c>
      <c r="T88" s="7">
        <v>2</v>
      </c>
      <c r="U88" s="7">
        <v>410</v>
      </c>
      <c r="V88" s="7">
        <v>0</v>
      </c>
      <c r="W88" s="7">
        <v>4</v>
      </c>
      <c r="X88" s="7">
        <v>5527205513</v>
      </c>
      <c r="Y88" s="7">
        <v>7131185132</v>
      </c>
      <c r="Z88" s="7" t="s">
        <v>1221</v>
      </c>
      <c r="AA88" s="7" t="s">
        <v>1220</v>
      </c>
      <c r="AB88" s="7"/>
      <c r="AC88" s="7"/>
    </row>
    <row r="89" spans="1:29" x14ac:dyDescent="0.45">
      <c r="A89" s="7">
        <v>710</v>
      </c>
      <c r="B89" s="7" t="s">
        <v>1156</v>
      </c>
      <c r="C89" s="7" t="s">
        <v>1155</v>
      </c>
      <c r="D89" s="7" t="s">
        <v>162</v>
      </c>
      <c r="E89" s="7" t="s">
        <v>39</v>
      </c>
      <c r="F89" s="7">
        <v>5526425375</v>
      </c>
      <c r="G89" s="8">
        <v>46074</v>
      </c>
      <c r="H89" s="7">
        <v>151347418</v>
      </c>
      <c r="I89" s="7">
        <v>22315423</v>
      </c>
      <c r="J89" s="7" t="s">
        <v>147</v>
      </c>
      <c r="K89" s="7" t="s">
        <v>1219</v>
      </c>
      <c r="L89" s="7" t="s">
        <v>1200</v>
      </c>
      <c r="M89" s="7" t="s">
        <v>1152</v>
      </c>
      <c r="N89" s="7">
        <v>10000064</v>
      </c>
      <c r="O89" s="7" t="s">
        <v>28</v>
      </c>
      <c r="P89" s="7" t="s">
        <v>1151</v>
      </c>
      <c r="Q89" s="7">
        <v>346126</v>
      </c>
      <c r="R89" s="7" t="s">
        <v>1160</v>
      </c>
      <c r="S89" s="7" t="s">
        <v>1149</v>
      </c>
      <c r="T89" s="7">
        <v>2</v>
      </c>
      <c r="U89" s="7">
        <v>889</v>
      </c>
      <c r="V89" s="7">
        <v>0</v>
      </c>
      <c r="W89" s="7">
        <v>18</v>
      </c>
      <c r="X89" s="7">
        <v>5563423533</v>
      </c>
      <c r="Y89" s="7">
        <v>5637474044</v>
      </c>
      <c r="Z89" s="7" t="s">
        <v>1218</v>
      </c>
      <c r="AA89" s="7" t="s">
        <v>1217</v>
      </c>
      <c r="AB89" s="7" t="s">
        <v>1216</v>
      </c>
      <c r="AC89" s="7">
        <v>8</v>
      </c>
    </row>
    <row r="90" spans="1:29" x14ac:dyDescent="0.45">
      <c r="A90" s="7">
        <v>710</v>
      </c>
      <c r="B90" s="7" t="s">
        <v>1156</v>
      </c>
      <c r="C90" s="7" t="s">
        <v>1155</v>
      </c>
      <c r="D90" s="7" t="s">
        <v>150</v>
      </c>
      <c r="E90" s="7" t="s">
        <v>36</v>
      </c>
      <c r="F90" s="7">
        <v>5516757059</v>
      </c>
      <c r="G90" s="8">
        <v>46121</v>
      </c>
      <c r="H90" s="7">
        <v>151443758</v>
      </c>
      <c r="I90" s="7">
        <v>24075269</v>
      </c>
      <c r="J90" s="7" t="s">
        <v>147</v>
      </c>
      <c r="K90" s="7" t="s">
        <v>1215</v>
      </c>
      <c r="L90" s="7" t="s">
        <v>1214</v>
      </c>
      <c r="M90" s="7" t="s">
        <v>1152</v>
      </c>
      <c r="N90" s="7">
        <v>10000064</v>
      </c>
      <c r="O90" s="7" t="s">
        <v>28</v>
      </c>
      <c r="P90" s="7" t="s">
        <v>1151</v>
      </c>
      <c r="Q90" s="7">
        <v>346072</v>
      </c>
      <c r="R90" s="7" t="s">
        <v>1160</v>
      </c>
      <c r="S90" s="7" t="s">
        <v>1213</v>
      </c>
      <c r="T90" s="7">
        <v>1</v>
      </c>
      <c r="U90" s="7">
        <v>1298</v>
      </c>
      <c r="V90" s="7">
        <v>0</v>
      </c>
      <c r="W90" s="7">
        <v>3</v>
      </c>
      <c r="X90" s="7">
        <v>5578844908</v>
      </c>
      <c r="Y90" s="7">
        <v>5539652672</v>
      </c>
      <c r="Z90" s="7" t="s">
        <v>1212</v>
      </c>
      <c r="AA90" s="7" t="s">
        <v>1211</v>
      </c>
      <c r="AB90" s="7" t="s">
        <v>1187</v>
      </c>
      <c r="AC90" s="7">
        <v>22</v>
      </c>
    </row>
    <row r="91" spans="1:29" x14ac:dyDescent="0.45">
      <c r="A91" s="7">
        <v>710</v>
      </c>
      <c r="B91" s="7" t="s">
        <v>1156</v>
      </c>
      <c r="C91" s="7" t="s">
        <v>1155</v>
      </c>
      <c r="D91" s="7" t="s">
        <v>150</v>
      </c>
      <c r="E91" s="7" t="s">
        <v>42</v>
      </c>
      <c r="F91" s="7">
        <v>5593773834</v>
      </c>
      <c r="G91" s="8">
        <v>46034</v>
      </c>
      <c r="H91" s="7">
        <v>151281521</v>
      </c>
      <c r="I91" s="7">
        <v>21475379</v>
      </c>
      <c r="J91" s="7" t="s">
        <v>147</v>
      </c>
      <c r="K91" s="7" t="s">
        <v>1210</v>
      </c>
      <c r="L91" s="7" t="s">
        <v>1209</v>
      </c>
      <c r="M91" s="7" t="s">
        <v>1152</v>
      </c>
      <c r="N91" s="7">
        <v>10000064</v>
      </c>
      <c r="O91" s="7" t="s">
        <v>28</v>
      </c>
      <c r="P91" s="7" t="s">
        <v>1151</v>
      </c>
      <c r="Q91" s="7">
        <v>345974</v>
      </c>
      <c r="R91" s="7" t="s">
        <v>1160</v>
      </c>
      <c r="S91" s="7" t="s">
        <v>1149</v>
      </c>
      <c r="T91" s="7">
        <v>3</v>
      </c>
      <c r="U91" s="7">
        <v>1160</v>
      </c>
      <c r="V91" s="7">
        <v>0</v>
      </c>
      <c r="W91" s="7">
        <v>5</v>
      </c>
      <c r="X91" s="7">
        <v>5554681292</v>
      </c>
      <c r="Y91" s="7">
        <v>5526893050</v>
      </c>
      <c r="Z91" s="7" t="s">
        <v>1208</v>
      </c>
      <c r="AA91" s="7" t="s">
        <v>1207</v>
      </c>
      <c r="AB91" s="7"/>
      <c r="AC91" s="7"/>
    </row>
    <row r="92" spans="1:29" x14ac:dyDescent="0.45">
      <c r="A92" s="7">
        <v>710</v>
      </c>
      <c r="B92" s="7" t="s">
        <v>1156</v>
      </c>
      <c r="C92" s="7" t="s">
        <v>1155</v>
      </c>
      <c r="D92" s="7" t="s">
        <v>150</v>
      </c>
      <c r="E92" s="7" t="s">
        <v>31</v>
      </c>
      <c r="F92" s="7">
        <v>5558107162</v>
      </c>
      <c r="G92" s="8">
        <v>46073</v>
      </c>
      <c r="H92" s="7">
        <v>151328027</v>
      </c>
      <c r="I92" s="7">
        <v>22100339</v>
      </c>
      <c r="J92" s="7" t="s">
        <v>147</v>
      </c>
      <c r="K92" s="7" t="s">
        <v>1206</v>
      </c>
      <c r="L92" s="7" t="s">
        <v>1205</v>
      </c>
      <c r="M92" s="7" t="s">
        <v>1152</v>
      </c>
      <c r="N92" s="7">
        <v>10000064</v>
      </c>
      <c r="O92" s="7" t="s">
        <v>28</v>
      </c>
      <c r="P92" s="7" t="s">
        <v>1151</v>
      </c>
      <c r="Q92" s="7">
        <v>346126</v>
      </c>
      <c r="R92" s="7" t="s">
        <v>1160</v>
      </c>
      <c r="S92" s="7" t="s">
        <v>1204</v>
      </c>
      <c r="T92" s="7">
        <v>1</v>
      </c>
      <c r="U92" s="7">
        <v>878</v>
      </c>
      <c r="V92" s="7">
        <v>795</v>
      </c>
      <c r="W92" s="7">
        <v>17</v>
      </c>
      <c r="X92" s="7">
        <v>5656523910</v>
      </c>
      <c r="Y92" s="7">
        <v>5567789302</v>
      </c>
      <c r="Z92" s="7" t="s">
        <v>1203</v>
      </c>
      <c r="AA92" s="7" t="s">
        <v>1202</v>
      </c>
      <c r="AB92" s="7" t="s">
        <v>1187</v>
      </c>
      <c r="AC92" s="7">
        <v>7</v>
      </c>
    </row>
    <row r="93" spans="1:29" x14ac:dyDescent="0.45">
      <c r="A93" s="7">
        <v>710</v>
      </c>
      <c r="B93" s="7" t="s">
        <v>1156</v>
      </c>
      <c r="C93" s="7" t="s">
        <v>1155</v>
      </c>
      <c r="D93" s="7" t="s">
        <v>162</v>
      </c>
      <c r="E93" s="7" t="s">
        <v>39</v>
      </c>
      <c r="F93" s="7">
        <v>5551311419</v>
      </c>
      <c r="G93" s="8">
        <v>46050</v>
      </c>
      <c r="H93" s="7">
        <v>151295939</v>
      </c>
      <c r="I93" s="7">
        <v>21690558</v>
      </c>
      <c r="J93" s="7" t="s">
        <v>147</v>
      </c>
      <c r="K93" s="7" t="s">
        <v>1201</v>
      </c>
      <c r="L93" s="7" t="s">
        <v>1200</v>
      </c>
      <c r="M93" s="7" t="s">
        <v>1152</v>
      </c>
      <c r="N93" s="7">
        <v>10001013</v>
      </c>
      <c r="O93" s="7" t="s">
        <v>28</v>
      </c>
      <c r="P93" s="7" t="s">
        <v>1151</v>
      </c>
      <c r="Q93" s="7">
        <v>325078</v>
      </c>
      <c r="R93" s="7" t="s">
        <v>1160</v>
      </c>
      <c r="S93" s="7" t="s">
        <v>1149</v>
      </c>
      <c r="T93" s="7">
        <v>3</v>
      </c>
      <c r="U93" s="7">
        <v>1891</v>
      </c>
      <c r="V93" s="7">
        <v>0</v>
      </c>
      <c r="W93" s="7">
        <v>24</v>
      </c>
      <c r="X93" s="7">
        <v>5540816613</v>
      </c>
      <c r="Y93" s="7">
        <v>5573103245</v>
      </c>
      <c r="Z93" s="7" t="s">
        <v>1199</v>
      </c>
      <c r="AA93" s="7" t="s">
        <v>1198</v>
      </c>
      <c r="AB93" s="7" t="s">
        <v>1197</v>
      </c>
      <c r="AC93" s="7">
        <v>11</v>
      </c>
    </row>
    <row r="94" spans="1:29" x14ac:dyDescent="0.45">
      <c r="A94" s="7">
        <v>710</v>
      </c>
      <c r="B94" s="7" t="s">
        <v>1156</v>
      </c>
      <c r="C94" s="7" t="s">
        <v>1155</v>
      </c>
      <c r="D94" s="7" t="s">
        <v>150</v>
      </c>
      <c r="E94" s="7" t="s">
        <v>45</v>
      </c>
      <c r="F94" s="7">
        <v>5522235863</v>
      </c>
      <c r="G94" s="8">
        <v>46059</v>
      </c>
      <c r="H94" s="7">
        <v>151334679</v>
      </c>
      <c r="I94" s="7">
        <v>22169083</v>
      </c>
      <c r="J94" s="7" t="s">
        <v>147</v>
      </c>
      <c r="K94" s="7" t="s">
        <v>1196</v>
      </c>
      <c r="L94" s="7" t="s">
        <v>1195</v>
      </c>
      <c r="M94" s="7" t="s">
        <v>1152</v>
      </c>
      <c r="N94" s="7">
        <v>10000064</v>
      </c>
      <c r="O94" s="7" t="s">
        <v>28</v>
      </c>
      <c r="P94" s="7" t="s">
        <v>1151</v>
      </c>
      <c r="Q94" s="7">
        <v>348485</v>
      </c>
      <c r="R94" s="7" t="s">
        <v>1150</v>
      </c>
      <c r="S94" s="7" t="s">
        <v>1176</v>
      </c>
      <c r="T94" s="7">
        <v>3</v>
      </c>
      <c r="U94" s="7">
        <v>1298</v>
      </c>
      <c r="V94" s="7">
        <v>0</v>
      </c>
      <c r="W94" s="7">
        <v>2</v>
      </c>
      <c r="X94" s="7">
        <v>5512011126</v>
      </c>
      <c r="Y94" s="7">
        <v>5559646362</v>
      </c>
      <c r="Z94" s="7" t="s">
        <v>1194</v>
      </c>
      <c r="AA94" s="7" t="s">
        <v>1193</v>
      </c>
      <c r="AB94" s="7" t="s">
        <v>1192</v>
      </c>
      <c r="AC94" s="7">
        <v>0</v>
      </c>
    </row>
    <row r="95" spans="1:29" x14ac:dyDescent="0.45">
      <c r="A95" s="7">
        <v>710</v>
      </c>
      <c r="B95" s="7" t="s">
        <v>1156</v>
      </c>
      <c r="C95" s="7" t="s">
        <v>1155</v>
      </c>
      <c r="D95" s="7" t="s">
        <v>150</v>
      </c>
      <c r="E95" s="7" t="s">
        <v>101</v>
      </c>
      <c r="F95" s="7">
        <v>5521216592</v>
      </c>
      <c r="G95" s="8">
        <v>46085</v>
      </c>
      <c r="H95" s="7">
        <v>151365764</v>
      </c>
      <c r="I95" s="7">
        <v>22519592</v>
      </c>
      <c r="J95" s="7" t="s">
        <v>1173</v>
      </c>
      <c r="K95" s="7" t="s">
        <v>1191</v>
      </c>
      <c r="L95" s="7" t="s">
        <v>1177</v>
      </c>
      <c r="M95" s="7" t="s">
        <v>1152</v>
      </c>
      <c r="N95" s="7">
        <v>10000064</v>
      </c>
      <c r="O95" s="7" t="s">
        <v>28</v>
      </c>
      <c r="P95" s="7" t="s">
        <v>1151</v>
      </c>
      <c r="Q95" s="7">
        <v>346126</v>
      </c>
      <c r="R95" s="7" t="s">
        <v>1160</v>
      </c>
      <c r="S95" s="7" t="s">
        <v>1190</v>
      </c>
      <c r="T95" s="7">
        <v>2</v>
      </c>
      <c r="U95" s="7">
        <v>1375</v>
      </c>
      <c r="V95" s="7">
        <v>0</v>
      </c>
      <c r="W95" s="7">
        <v>2</v>
      </c>
      <c r="X95" s="7">
        <v>5637549419</v>
      </c>
      <c r="Y95" s="7">
        <v>5551994227</v>
      </c>
      <c r="Z95" s="7" t="s">
        <v>1189</v>
      </c>
      <c r="AA95" s="7" t="s">
        <v>1188</v>
      </c>
      <c r="AB95" s="7" t="s">
        <v>1187</v>
      </c>
      <c r="AC95" s="7">
        <v>11</v>
      </c>
    </row>
    <row r="96" spans="1:29" x14ac:dyDescent="0.45">
      <c r="A96" s="7">
        <v>710</v>
      </c>
      <c r="B96" s="7" t="s">
        <v>1156</v>
      </c>
      <c r="C96" s="7" t="s">
        <v>1155</v>
      </c>
      <c r="D96" s="7" t="s">
        <v>150</v>
      </c>
      <c r="E96" s="7" t="s">
        <v>42</v>
      </c>
      <c r="F96" s="7">
        <v>5522930423</v>
      </c>
      <c r="G96" s="8">
        <v>46025</v>
      </c>
      <c r="H96" s="7">
        <v>151268396</v>
      </c>
      <c r="I96" s="7">
        <v>21306552</v>
      </c>
      <c r="J96" s="7" t="s">
        <v>147</v>
      </c>
      <c r="K96" s="7" t="s">
        <v>1186</v>
      </c>
      <c r="L96" s="7" t="s">
        <v>1153</v>
      </c>
      <c r="M96" s="7" t="s">
        <v>1152</v>
      </c>
      <c r="N96" s="7">
        <v>10000064</v>
      </c>
      <c r="O96" s="7" t="s">
        <v>28</v>
      </c>
      <c r="P96" s="7" t="s">
        <v>1151</v>
      </c>
      <c r="Q96" s="7">
        <v>326925</v>
      </c>
      <c r="R96" s="7" t="s">
        <v>1160</v>
      </c>
      <c r="S96" s="7" t="s">
        <v>1149</v>
      </c>
      <c r="T96" s="7">
        <v>2</v>
      </c>
      <c r="U96" s="7">
        <v>1353</v>
      </c>
      <c r="V96" s="7">
        <v>1479</v>
      </c>
      <c r="W96" s="7">
        <v>30</v>
      </c>
      <c r="X96" s="7">
        <v>5657649387</v>
      </c>
      <c r="Y96" s="7">
        <v>5581808982</v>
      </c>
      <c r="Z96" s="7" t="s">
        <v>1185</v>
      </c>
      <c r="AA96" s="7" t="s">
        <v>1184</v>
      </c>
      <c r="AB96" s="7" t="s">
        <v>1183</v>
      </c>
      <c r="AC96" s="7">
        <v>14</v>
      </c>
    </row>
    <row r="97" spans="1:29" x14ac:dyDescent="0.45">
      <c r="A97" s="7">
        <v>710</v>
      </c>
      <c r="B97" s="7" t="s">
        <v>1156</v>
      </c>
      <c r="C97" s="7" t="s">
        <v>1155</v>
      </c>
      <c r="D97" s="7" t="s">
        <v>150</v>
      </c>
      <c r="E97" s="7" t="s">
        <v>101</v>
      </c>
      <c r="F97" s="7">
        <v>5555266735</v>
      </c>
      <c r="G97" s="8">
        <v>46045</v>
      </c>
      <c r="H97" s="7">
        <v>151304593</v>
      </c>
      <c r="I97" s="7">
        <v>21822942</v>
      </c>
      <c r="J97" s="7" t="s">
        <v>147</v>
      </c>
      <c r="K97" s="7" t="s">
        <v>1182</v>
      </c>
      <c r="L97" s="7" t="s">
        <v>1181</v>
      </c>
      <c r="M97" s="7" t="s">
        <v>1152</v>
      </c>
      <c r="N97" s="7">
        <v>10000064</v>
      </c>
      <c r="O97" s="7" t="s">
        <v>28</v>
      </c>
      <c r="P97" s="7" t="s">
        <v>1151</v>
      </c>
      <c r="Q97" s="7">
        <v>346072</v>
      </c>
      <c r="R97" s="7" t="s">
        <v>1160</v>
      </c>
      <c r="S97" s="7" t="s">
        <v>1149</v>
      </c>
      <c r="T97" s="7">
        <v>3</v>
      </c>
      <c r="U97" s="7">
        <v>1465</v>
      </c>
      <c r="V97" s="7">
        <v>0</v>
      </c>
      <c r="W97" s="7">
        <v>19</v>
      </c>
      <c r="X97" s="7">
        <v>5662743371</v>
      </c>
      <c r="Y97" s="7">
        <v>5662743371</v>
      </c>
      <c r="Z97" s="7" t="s">
        <v>1180</v>
      </c>
      <c r="AA97" s="7" t="s">
        <v>1179</v>
      </c>
      <c r="AB97" s="7" t="s">
        <v>1167</v>
      </c>
      <c r="AC97" s="7">
        <v>21</v>
      </c>
    </row>
    <row r="98" spans="1:29" x14ac:dyDescent="0.45">
      <c r="A98" s="7">
        <v>710</v>
      </c>
      <c r="B98" s="7" t="s">
        <v>1156</v>
      </c>
      <c r="C98" s="7" t="s">
        <v>1155</v>
      </c>
      <c r="D98" s="7" t="s">
        <v>162</v>
      </c>
      <c r="E98" s="7" t="s">
        <v>55</v>
      </c>
      <c r="F98" s="7">
        <v>5552445156</v>
      </c>
      <c r="G98" s="8">
        <v>46037</v>
      </c>
      <c r="H98" s="7">
        <v>151286333</v>
      </c>
      <c r="I98" s="7">
        <v>21573430</v>
      </c>
      <c r="J98" s="7" t="s">
        <v>147</v>
      </c>
      <c r="K98" s="7" t="s">
        <v>1178</v>
      </c>
      <c r="L98" s="7" t="s">
        <v>1177</v>
      </c>
      <c r="M98" s="7" t="s">
        <v>1152</v>
      </c>
      <c r="N98" s="7">
        <v>10001013</v>
      </c>
      <c r="O98" s="7" t="s">
        <v>28</v>
      </c>
      <c r="P98" s="7" t="s">
        <v>1151</v>
      </c>
      <c r="Q98" s="7">
        <v>330804</v>
      </c>
      <c r="R98" s="7" t="s">
        <v>1160</v>
      </c>
      <c r="S98" s="7" t="s">
        <v>1176</v>
      </c>
      <c r="T98" s="7">
        <v>1</v>
      </c>
      <c r="U98" s="7">
        <v>498</v>
      </c>
      <c r="V98" s="7">
        <v>1598</v>
      </c>
      <c r="W98" s="7">
        <v>12</v>
      </c>
      <c r="X98" s="7">
        <v>5544161588</v>
      </c>
      <c r="Y98" s="7">
        <v>5611834444</v>
      </c>
      <c r="Z98" s="7" t="s">
        <v>1175</v>
      </c>
      <c r="AA98" s="7" t="s">
        <v>1174</v>
      </c>
      <c r="AB98" s="7" t="s">
        <v>1167</v>
      </c>
      <c r="AC98" s="7">
        <v>18</v>
      </c>
    </row>
    <row r="99" spans="1:29" x14ac:dyDescent="0.45">
      <c r="A99" s="7">
        <v>710</v>
      </c>
      <c r="B99" s="7" t="s">
        <v>1156</v>
      </c>
      <c r="C99" s="7" t="s">
        <v>1155</v>
      </c>
      <c r="D99" s="7" t="s">
        <v>162</v>
      </c>
      <c r="E99" s="7" t="s">
        <v>62</v>
      </c>
      <c r="F99" s="7">
        <v>5515397736</v>
      </c>
      <c r="G99" s="8">
        <v>46045</v>
      </c>
      <c r="H99" s="7">
        <v>151309423</v>
      </c>
      <c r="I99" s="7">
        <v>21880064</v>
      </c>
      <c r="J99" s="7" t="s">
        <v>1173</v>
      </c>
      <c r="K99" s="7" t="s">
        <v>1172</v>
      </c>
      <c r="L99" s="7" t="s">
        <v>1171</v>
      </c>
      <c r="M99" s="7" t="s">
        <v>144</v>
      </c>
      <c r="N99" s="7">
        <v>10000064</v>
      </c>
      <c r="O99" s="7" t="s">
        <v>28</v>
      </c>
      <c r="P99" s="7" t="s">
        <v>1151</v>
      </c>
      <c r="Q99" s="7">
        <v>346072</v>
      </c>
      <c r="R99" s="7" t="s">
        <v>1160</v>
      </c>
      <c r="S99" s="7" t="s">
        <v>1170</v>
      </c>
      <c r="T99" s="7">
        <v>3</v>
      </c>
      <c r="U99" s="7">
        <v>1698</v>
      </c>
      <c r="V99" s="7">
        <v>0</v>
      </c>
      <c r="W99" s="7">
        <v>18</v>
      </c>
      <c r="X99" s="7">
        <v>5525370915</v>
      </c>
      <c r="Y99" s="7">
        <v>5630311759</v>
      </c>
      <c r="Z99" s="7" t="s">
        <v>1169</v>
      </c>
      <c r="AA99" s="7" t="s">
        <v>1168</v>
      </c>
      <c r="AB99" s="7" t="s">
        <v>1167</v>
      </c>
      <c r="AC99" s="7">
        <v>8</v>
      </c>
    </row>
    <row r="100" spans="1:29" x14ac:dyDescent="0.45">
      <c r="A100" s="7">
        <v>710</v>
      </c>
      <c r="B100" s="7" t="s">
        <v>1156</v>
      </c>
      <c r="C100" s="7" t="s">
        <v>1155</v>
      </c>
      <c r="D100" s="7" t="s">
        <v>150</v>
      </c>
      <c r="E100" s="7" t="s">
        <v>42</v>
      </c>
      <c r="F100" s="7">
        <v>5596857629</v>
      </c>
      <c r="G100" s="8">
        <v>46086</v>
      </c>
      <c r="H100" s="7">
        <v>151373277</v>
      </c>
      <c r="I100" s="7">
        <v>22601871</v>
      </c>
      <c r="J100" s="7" t="s">
        <v>147</v>
      </c>
      <c r="K100" s="7" t="s">
        <v>1166</v>
      </c>
      <c r="L100" s="7" t="s">
        <v>1165</v>
      </c>
      <c r="M100" s="7" t="s">
        <v>1152</v>
      </c>
      <c r="N100" s="7">
        <v>10001013</v>
      </c>
      <c r="O100" s="7" t="s">
        <v>28</v>
      </c>
      <c r="P100" s="7" t="s">
        <v>1151</v>
      </c>
      <c r="Q100" s="7">
        <v>348467</v>
      </c>
      <c r="R100" s="7" t="s">
        <v>1160</v>
      </c>
      <c r="S100" s="7" t="s">
        <v>1149</v>
      </c>
      <c r="T100" s="7">
        <v>2</v>
      </c>
      <c r="U100" s="7">
        <v>364</v>
      </c>
      <c r="V100" s="7">
        <v>0</v>
      </c>
      <c r="W100" s="7">
        <v>4</v>
      </c>
      <c r="X100" s="7">
        <v>5637991951</v>
      </c>
      <c r="Y100" s="7">
        <v>5512183960</v>
      </c>
      <c r="Z100" s="7" t="s">
        <v>1164</v>
      </c>
      <c r="AA100" s="7" t="s">
        <v>1163</v>
      </c>
      <c r="AB100" s="7"/>
      <c r="AC100" s="7"/>
    </row>
    <row r="101" spans="1:29" x14ac:dyDescent="0.45">
      <c r="A101" s="7">
        <v>710</v>
      </c>
      <c r="B101" s="7" t="s">
        <v>1156</v>
      </c>
      <c r="C101" s="7" t="s">
        <v>1155</v>
      </c>
      <c r="D101" s="7" t="s">
        <v>162</v>
      </c>
      <c r="E101" s="7" t="s">
        <v>39</v>
      </c>
      <c r="F101" s="7">
        <v>5595036610</v>
      </c>
      <c r="G101" s="8">
        <v>46027</v>
      </c>
      <c r="H101" s="7">
        <v>151259366</v>
      </c>
      <c r="I101" s="7">
        <v>21172001</v>
      </c>
      <c r="J101" s="7" t="s">
        <v>147</v>
      </c>
      <c r="K101" s="7" t="s">
        <v>1162</v>
      </c>
      <c r="L101" s="7" t="s">
        <v>1161</v>
      </c>
      <c r="M101" s="7" t="s">
        <v>1152</v>
      </c>
      <c r="N101" s="7">
        <v>10001013</v>
      </c>
      <c r="O101" s="7" t="s">
        <v>28</v>
      </c>
      <c r="P101" s="7" t="s">
        <v>1151</v>
      </c>
      <c r="Q101" s="7">
        <v>345495</v>
      </c>
      <c r="R101" s="7" t="s">
        <v>1160</v>
      </c>
      <c r="S101" s="7" t="s">
        <v>1159</v>
      </c>
      <c r="T101" s="7">
        <v>4</v>
      </c>
      <c r="U101" s="7">
        <v>624</v>
      </c>
      <c r="V101" s="7">
        <v>0</v>
      </c>
      <c r="W101" s="7">
        <v>2</v>
      </c>
      <c r="X101" s="7">
        <v>5582569773</v>
      </c>
      <c r="Y101" s="7">
        <v>5562495600</v>
      </c>
      <c r="Z101" s="7" t="s">
        <v>1158</v>
      </c>
      <c r="AA101" s="7" t="s">
        <v>1157</v>
      </c>
      <c r="AB101" s="7"/>
      <c r="AC101" s="7"/>
    </row>
    <row r="102" spans="1:29" x14ac:dyDescent="0.45">
      <c r="A102" s="7">
        <v>710</v>
      </c>
      <c r="B102" s="7" t="s">
        <v>1156</v>
      </c>
      <c r="C102" s="7" t="s">
        <v>1155</v>
      </c>
      <c r="D102" s="7" t="s">
        <v>150</v>
      </c>
      <c r="E102" s="7" t="s">
        <v>42</v>
      </c>
      <c r="F102" s="7">
        <v>5598058153</v>
      </c>
      <c r="G102" s="8">
        <v>46099</v>
      </c>
      <c r="H102" s="7">
        <v>151394823</v>
      </c>
      <c r="I102" s="7">
        <v>22911077</v>
      </c>
      <c r="J102" s="7" t="s">
        <v>147</v>
      </c>
      <c r="K102" s="7" t="s">
        <v>1154</v>
      </c>
      <c r="L102" s="7" t="s">
        <v>1153</v>
      </c>
      <c r="M102" s="7" t="s">
        <v>1152</v>
      </c>
      <c r="N102" s="7">
        <v>10000064</v>
      </c>
      <c r="O102" s="7" t="s">
        <v>28</v>
      </c>
      <c r="P102" s="7" t="s">
        <v>1151</v>
      </c>
      <c r="Q102" s="7">
        <v>348485</v>
      </c>
      <c r="R102" s="7" t="s">
        <v>1150</v>
      </c>
      <c r="S102" s="7" t="s">
        <v>1149</v>
      </c>
      <c r="T102" s="7">
        <v>1</v>
      </c>
      <c r="U102" s="7">
        <v>735</v>
      </c>
      <c r="V102" s="7">
        <v>0</v>
      </c>
      <c r="W102" s="7">
        <v>13</v>
      </c>
      <c r="X102" s="7">
        <v>5574329670</v>
      </c>
      <c r="Y102" s="7">
        <v>5549175326</v>
      </c>
      <c r="Z102" s="7" t="s">
        <v>1148</v>
      </c>
      <c r="AA102" s="7" t="s">
        <v>1147</v>
      </c>
      <c r="AB102" s="7"/>
      <c r="AC1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5"/>
  <sheetViews>
    <sheetView topLeftCell="F1" workbookViewId="0"/>
  </sheetViews>
  <sheetFormatPr baseColWidth="10" defaultColWidth="9.06640625" defaultRowHeight="14.25" x14ac:dyDescent="0.45"/>
  <cols>
    <col min="2" max="2" width="20.46484375" customWidth="1"/>
  </cols>
  <sheetData>
    <row r="1" spans="1:2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45">
      <c r="A2" t="s">
        <v>26</v>
      </c>
      <c r="B2">
        <v>151375639</v>
      </c>
      <c r="C2">
        <v>10001013</v>
      </c>
      <c r="D2" t="s">
        <v>27</v>
      </c>
      <c r="E2" t="s">
        <v>28</v>
      </c>
      <c r="F2">
        <v>350677</v>
      </c>
      <c r="G2">
        <v>5524665760</v>
      </c>
      <c r="H2">
        <v>22623094</v>
      </c>
      <c r="I2" t="s">
        <v>29</v>
      </c>
      <c r="K2" t="s">
        <v>30</v>
      </c>
      <c r="L2" t="s">
        <v>31</v>
      </c>
      <c r="M2">
        <v>49.999999998</v>
      </c>
      <c r="N2">
        <v>0</v>
      </c>
      <c r="O2">
        <v>49.999999998</v>
      </c>
      <c r="P2">
        <v>0</v>
      </c>
      <c r="Q2">
        <v>0</v>
      </c>
      <c r="R2">
        <v>49.999999998</v>
      </c>
      <c r="S2" t="s">
        <v>32</v>
      </c>
      <c r="T2" t="s">
        <v>33</v>
      </c>
      <c r="U2">
        <v>10001013</v>
      </c>
      <c r="Y2" t="s">
        <v>34</v>
      </c>
      <c r="Z2" t="s">
        <v>35</v>
      </c>
    </row>
    <row r="3" spans="1:26" x14ac:dyDescent="0.45">
      <c r="A3" t="s">
        <v>26</v>
      </c>
      <c r="B3">
        <v>151428449</v>
      </c>
      <c r="C3">
        <v>10000064</v>
      </c>
      <c r="D3" t="s">
        <v>27</v>
      </c>
      <c r="E3" t="s">
        <v>28</v>
      </c>
      <c r="F3">
        <v>348485</v>
      </c>
      <c r="G3">
        <v>5552760252</v>
      </c>
      <c r="H3">
        <v>23872387</v>
      </c>
      <c r="I3" t="s">
        <v>29</v>
      </c>
      <c r="K3" t="s">
        <v>30</v>
      </c>
      <c r="L3" t="s">
        <v>36</v>
      </c>
      <c r="M3">
        <v>249.99999998999999</v>
      </c>
      <c r="N3">
        <v>249.99999998999999</v>
      </c>
      <c r="O3">
        <v>0</v>
      </c>
      <c r="P3">
        <v>0</v>
      </c>
      <c r="Q3">
        <v>0</v>
      </c>
      <c r="R3">
        <v>249.99999998999999</v>
      </c>
      <c r="S3" t="s">
        <v>37</v>
      </c>
      <c r="T3" t="s">
        <v>38</v>
      </c>
      <c r="U3">
        <v>10000064</v>
      </c>
      <c r="Y3" t="s">
        <v>34</v>
      </c>
      <c r="Z3" t="s">
        <v>35</v>
      </c>
    </row>
    <row r="4" spans="1:26" x14ac:dyDescent="0.45">
      <c r="A4" t="s">
        <v>26</v>
      </c>
      <c r="B4">
        <v>151419967</v>
      </c>
      <c r="C4">
        <v>10000064</v>
      </c>
      <c r="D4" t="s">
        <v>27</v>
      </c>
      <c r="E4" t="s">
        <v>28</v>
      </c>
      <c r="F4">
        <v>348485</v>
      </c>
      <c r="G4">
        <v>5558416979</v>
      </c>
      <c r="H4">
        <v>23788939</v>
      </c>
      <c r="I4" t="s">
        <v>29</v>
      </c>
      <c r="K4" t="s">
        <v>30</v>
      </c>
      <c r="L4" t="s">
        <v>39</v>
      </c>
      <c r="M4">
        <v>249.99999998999999</v>
      </c>
      <c r="N4">
        <v>249.99999998999999</v>
      </c>
      <c r="O4">
        <v>0</v>
      </c>
      <c r="P4">
        <v>0</v>
      </c>
      <c r="Q4">
        <v>0</v>
      </c>
      <c r="R4">
        <v>249.99999998999999</v>
      </c>
      <c r="S4" t="s">
        <v>32</v>
      </c>
      <c r="T4" t="s">
        <v>38</v>
      </c>
      <c r="U4">
        <v>10000064</v>
      </c>
      <c r="Y4" t="s">
        <v>34</v>
      </c>
      <c r="Z4" t="s">
        <v>35</v>
      </c>
    </row>
    <row r="5" spans="1:26" x14ac:dyDescent="0.45">
      <c r="A5" t="s">
        <v>26</v>
      </c>
      <c r="B5">
        <v>151419851</v>
      </c>
      <c r="C5">
        <v>10000064</v>
      </c>
      <c r="D5" t="s">
        <v>27</v>
      </c>
      <c r="E5" t="s">
        <v>28</v>
      </c>
      <c r="F5">
        <v>348485</v>
      </c>
      <c r="G5">
        <v>5558415444</v>
      </c>
      <c r="H5">
        <v>23788517</v>
      </c>
      <c r="I5" t="s">
        <v>29</v>
      </c>
      <c r="K5" t="s">
        <v>30</v>
      </c>
      <c r="L5" t="s">
        <v>39</v>
      </c>
      <c r="M5">
        <v>249.99999998999999</v>
      </c>
      <c r="N5">
        <v>249.99999998999999</v>
      </c>
      <c r="O5">
        <v>0</v>
      </c>
      <c r="P5">
        <v>0</v>
      </c>
      <c r="Q5">
        <v>0</v>
      </c>
      <c r="R5">
        <v>249.99999998999999</v>
      </c>
      <c r="S5" t="s">
        <v>32</v>
      </c>
      <c r="T5" t="s">
        <v>38</v>
      </c>
      <c r="U5">
        <v>10000064</v>
      </c>
      <c r="Y5" t="s">
        <v>34</v>
      </c>
      <c r="Z5" t="s">
        <v>35</v>
      </c>
    </row>
    <row r="6" spans="1:26" x14ac:dyDescent="0.45">
      <c r="A6" t="s">
        <v>26</v>
      </c>
      <c r="B6">
        <v>151417029</v>
      </c>
      <c r="C6">
        <v>10001013</v>
      </c>
      <c r="D6" t="s">
        <v>27</v>
      </c>
      <c r="E6" t="s">
        <v>28</v>
      </c>
      <c r="F6">
        <v>345495</v>
      </c>
      <c r="G6">
        <v>5558107022</v>
      </c>
      <c r="H6">
        <v>23802224</v>
      </c>
      <c r="I6" t="s">
        <v>29</v>
      </c>
      <c r="K6" t="s">
        <v>30</v>
      </c>
      <c r="L6" t="s">
        <v>40</v>
      </c>
      <c r="M6">
        <v>249.99999998999999</v>
      </c>
      <c r="N6">
        <v>249.99999998999999</v>
      </c>
      <c r="O6">
        <v>0</v>
      </c>
      <c r="P6">
        <v>0</v>
      </c>
      <c r="Q6">
        <v>0</v>
      </c>
      <c r="R6">
        <v>249.99999998999999</v>
      </c>
      <c r="S6" t="s">
        <v>37</v>
      </c>
      <c r="T6" t="s">
        <v>38</v>
      </c>
      <c r="U6">
        <v>10001013</v>
      </c>
      <c r="Y6" t="s">
        <v>34</v>
      </c>
      <c r="Z6" t="s">
        <v>35</v>
      </c>
    </row>
    <row r="7" spans="1:26" x14ac:dyDescent="0.45">
      <c r="A7" t="s">
        <v>26</v>
      </c>
      <c r="B7">
        <v>151413164</v>
      </c>
      <c r="C7">
        <v>10000064</v>
      </c>
      <c r="D7" t="s">
        <v>27</v>
      </c>
      <c r="E7" t="s">
        <v>28</v>
      </c>
      <c r="F7">
        <v>352529</v>
      </c>
      <c r="G7">
        <v>5595608513</v>
      </c>
      <c r="H7">
        <v>23437284</v>
      </c>
      <c r="I7" t="s">
        <v>29</v>
      </c>
      <c r="K7" t="s">
        <v>30</v>
      </c>
      <c r="L7" t="s">
        <v>40</v>
      </c>
      <c r="M7">
        <v>249.99999998999999</v>
      </c>
      <c r="N7">
        <v>249.99999998999999</v>
      </c>
      <c r="O7">
        <v>0</v>
      </c>
      <c r="P7">
        <v>0</v>
      </c>
      <c r="Q7">
        <v>0</v>
      </c>
      <c r="R7">
        <v>249.99999998999999</v>
      </c>
      <c r="S7" t="s">
        <v>41</v>
      </c>
      <c r="T7" t="s">
        <v>38</v>
      </c>
      <c r="U7">
        <v>10000064</v>
      </c>
      <c r="Y7" t="s">
        <v>34</v>
      </c>
      <c r="Z7" t="s">
        <v>35</v>
      </c>
    </row>
    <row r="8" spans="1:26" x14ac:dyDescent="0.45">
      <c r="A8" t="s">
        <v>26</v>
      </c>
      <c r="B8">
        <v>151388573</v>
      </c>
      <c r="C8">
        <v>10001013</v>
      </c>
      <c r="D8" t="s">
        <v>27</v>
      </c>
      <c r="E8" t="s">
        <v>28</v>
      </c>
      <c r="F8">
        <v>351030</v>
      </c>
      <c r="G8">
        <v>5521569682</v>
      </c>
      <c r="H8">
        <v>22923355</v>
      </c>
      <c r="I8" t="s">
        <v>29</v>
      </c>
      <c r="K8" t="s">
        <v>30</v>
      </c>
      <c r="L8" t="s">
        <v>40</v>
      </c>
      <c r="M8">
        <v>49.999999998</v>
      </c>
      <c r="N8">
        <v>0</v>
      </c>
      <c r="O8">
        <v>49.999999998</v>
      </c>
      <c r="P8">
        <v>0</v>
      </c>
      <c r="Q8">
        <v>0</v>
      </c>
      <c r="R8">
        <v>49.999999998</v>
      </c>
      <c r="S8" t="s">
        <v>37</v>
      </c>
      <c r="T8" t="s">
        <v>33</v>
      </c>
      <c r="U8">
        <v>10001013</v>
      </c>
      <c r="Y8" t="s">
        <v>34</v>
      </c>
      <c r="Z8" t="s">
        <v>35</v>
      </c>
    </row>
    <row r="9" spans="1:26" x14ac:dyDescent="0.45">
      <c r="A9" t="s">
        <v>26</v>
      </c>
      <c r="B9">
        <v>151384434</v>
      </c>
      <c r="C9">
        <v>10000064</v>
      </c>
      <c r="D9" t="s">
        <v>27</v>
      </c>
      <c r="E9" t="s">
        <v>28</v>
      </c>
      <c r="F9">
        <v>346072</v>
      </c>
      <c r="G9">
        <v>5551626672</v>
      </c>
      <c r="H9">
        <v>22759030</v>
      </c>
      <c r="I9" t="s">
        <v>29</v>
      </c>
      <c r="K9" t="s">
        <v>30</v>
      </c>
      <c r="L9" t="s">
        <v>42</v>
      </c>
      <c r="M9">
        <v>49.999999998</v>
      </c>
      <c r="N9">
        <v>0</v>
      </c>
      <c r="O9">
        <v>49.999999998</v>
      </c>
      <c r="P9">
        <v>0</v>
      </c>
      <c r="Q9">
        <v>0</v>
      </c>
      <c r="R9">
        <v>49.999999998</v>
      </c>
      <c r="S9" t="s">
        <v>43</v>
      </c>
      <c r="T9" t="s">
        <v>33</v>
      </c>
      <c r="U9">
        <v>10000064</v>
      </c>
      <c r="Y9" t="s">
        <v>34</v>
      </c>
      <c r="Z9" t="s">
        <v>35</v>
      </c>
    </row>
    <row r="10" spans="1:26" x14ac:dyDescent="0.45">
      <c r="A10" t="s">
        <v>26</v>
      </c>
      <c r="B10">
        <v>151381589</v>
      </c>
      <c r="C10">
        <v>10001013</v>
      </c>
      <c r="D10" t="s">
        <v>27</v>
      </c>
      <c r="E10" t="s">
        <v>28</v>
      </c>
      <c r="F10">
        <v>351030</v>
      </c>
      <c r="G10">
        <v>5522085628</v>
      </c>
      <c r="H10">
        <v>22726751</v>
      </c>
      <c r="I10" t="s">
        <v>29</v>
      </c>
      <c r="K10" t="s">
        <v>30</v>
      </c>
      <c r="L10" t="s">
        <v>42</v>
      </c>
      <c r="M10">
        <v>49.999999998</v>
      </c>
      <c r="N10">
        <v>0</v>
      </c>
      <c r="O10">
        <v>49.999999998</v>
      </c>
      <c r="P10">
        <v>0</v>
      </c>
      <c r="Q10">
        <v>0</v>
      </c>
      <c r="R10">
        <v>49.999999998</v>
      </c>
      <c r="S10" t="s">
        <v>37</v>
      </c>
      <c r="T10" t="s">
        <v>33</v>
      </c>
      <c r="U10">
        <v>10001013</v>
      </c>
      <c r="Y10" t="s">
        <v>34</v>
      </c>
      <c r="Z10" t="s">
        <v>35</v>
      </c>
    </row>
    <row r="11" spans="1:26" x14ac:dyDescent="0.45">
      <c r="A11" t="s">
        <v>26</v>
      </c>
      <c r="B11">
        <v>151243535</v>
      </c>
      <c r="C11">
        <v>10000064</v>
      </c>
      <c r="D11" t="s">
        <v>27</v>
      </c>
      <c r="E11" t="s">
        <v>28</v>
      </c>
      <c r="F11">
        <v>329069</v>
      </c>
      <c r="G11">
        <v>5559198037</v>
      </c>
      <c r="H11">
        <v>20964375</v>
      </c>
      <c r="I11" t="s">
        <v>29</v>
      </c>
      <c r="K11" t="s">
        <v>30</v>
      </c>
      <c r="L11" t="s">
        <v>42</v>
      </c>
      <c r="M11">
        <v>49.999999998</v>
      </c>
      <c r="N11">
        <v>0</v>
      </c>
      <c r="O11">
        <v>49.999999998</v>
      </c>
      <c r="P11">
        <v>0</v>
      </c>
      <c r="Q11">
        <v>0</v>
      </c>
      <c r="R11">
        <v>49.999999998</v>
      </c>
      <c r="S11" t="s">
        <v>37</v>
      </c>
      <c r="T11" t="s">
        <v>33</v>
      </c>
      <c r="U11">
        <v>10000064</v>
      </c>
      <c r="Y11" t="s">
        <v>34</v>
      </c>
      <c r="Z11" t="s">
        <v>35</v>
      </c>
    </row>
    <row r="12" spans="1:26" x14ac:dyDescent="0.45">
      <c r="A12" t="s">
        <v>26</v>
      </c>
      <c r="B12">
        <v>151375541</v>
      </c>
      <c r="C12">
        <v>10001013</v>
      </c>
      <c r="D12" t="s">
        <v>27</v>
      </c>
      <c r="E12" t="s">
        <v>28</v>
      </c>
      <c r="F12">
        <v>350677</v>
      </c>
      <c r="G12">
        <v>5593396508</v>
      </c>
      <c r="H12">
        <v>22624366</v>
      </c>
      <c r="I12" t="s">
        <v>29</v>
      </c>
      <c r="K12" t="s">
        <v>30</v>
      </c>
      <c r="L12" t="s">
        <v>40</v>
      </c>
      <c r="M12">
        <v>49.999999998</v>
      </c>
      <c r="N12">
        <v>0</v>
      </c>
      <c r="O12">
        <v>49.999999998</v>
      </c>
      <c r="P12">
        <v>0</v>
      </c>
      <c r="Q12">
        <v>0</v>
      </c>
      <c r="R12">
        <v>49.999999998</v>
      </c>
      <c r="S12" t="s">
        <v>37</v>
      </c>
      <c r="T12" t="s">
        <v>33</v>
      </c>
      <c r="U12">
        <v>10001013</v>
      </c>
      <c r="Y12" t="s">
        <v>34</v>
      </c>
      <c r="Z12" t="s">
        <v>35</v>
      </c>
    </row>
    <row r="13" spans="1:26" x14ac:dyDescent="0.45">
      <c r="A13" t="s">
        <v>26</v>
      </c>
      <c r="B13">
        <v>151368590</v>
      </c>
      <c r="C13">
        <v>10000064</v>
      </c>
      <c r="D13" t="s">
        <v>27</v>
      </c>
      <c r="E13" t="s">
        <v>28</v>
      </c>
      <c r="F13">
        <v>346072</v>
      </c>
      <c r="G13">
        <v>5591806859</v>
      </c>
      <c r="H13">
        <v>22640228</v>
      </c>
      <c r="I13" t="s">
        <v>29</v>
      </c>
      <c r="K13" t="s">
        <v>30</v>
      </c>
      <c r="L13" t="s">
        <v>40</v>
      </c>
      <c r="M13">
        <v>49.999999998</v>
      </c>
      <c r="N13">
        <v>0</v>
      </c>
      <c r="O13">
        <v>49.999999998</v>
      </c>
      <c r="P13">
        <v>0</v>
      </c>
      <c r="Q13">
        <v>0</v>
      </c>
      <c r="R13">
        <v>49.999999998</v>
      </c>
      <c r="S13" t="s">
        <v>44</v>
      </c>
      <c r="T13" t="s">
        <v>33</v>
      </c>
      <c r="U13">
        <v>10000064</v>
      </c>
      <c r="Y13" t="s">
        <v>34</v>
      </c>
      <c r="Z13" t="s">
        <v>35</v>
      </c>
    </row>
    <row r="14" spans="1:26" x14ac:dyDescent="0.45">
      <c r="A14" t="s">
        <v>26</v>
      </c>
      <c r="B14">
        <v>151365726</v>
      </c>
      <c r="C14">
        <v>10000064</v>
      </c>
      <c r="D14" t="s">
        <v>27</v>
      </c>
      <c r="E14" t="s">
        <v>28</v>
      </c>
      <c r="F14">
        <v>346126</v>
      </c>
      <c r="G14">
        <v>5555487809</v>
      </c>
      <c r="H14">
        <v>22797314</v>
      </c>
      <c r="I14" t="s">
        <v>29</v>
      </c>
      <c r="K14" t="s">
        <v>30</v>
      </c>
      <c r="L14" t="s">
        <v>40</v>
      </c>
      <c r="M14">
        <v>49.999999998</v>
      </c>
      <c r="N14">
        <v>0</v>
      </c>
      <c r="O14">
        <v>49.999999998</v>
      </c>
      <c r="P14">
        <v>0</v>
      </c>
      <c r="Q14">
        <v>0</v>
      </c>
      <c r="R14">
        <v>49.999999998</v>
      </c>
      <c r="S14" t="s">
        <v>37</v>
      </c>
      <c r="T14" t="s">
        <v>33</v>
      </c>
      <c r="U14">
        <v>10000064</v>
      </c>
      <c r="Y14" t="s">
        <v>34</v>
      </c>
      <c r="Z14" t="s">
        <v>35</v>
      </c>
    </row>
    <row r="15" spans="1:26" x14ac:dyDescent="0.45">
      <c r="A15" t="s">
        <v>26</v>
      </c>
      <c r="B15">
        <v>151364767</v>
      </c>
      <c r="C15">
        <v>10001013</v>
      </c>
      <c r="D15" t="s">
        <v>27</v>
      </c>
      <c r="E15" t="s">
        <v>28</v>
      </c>
      <c r="F15">
        <v>345495</v>
      </c>
      <c r="G15">
        <v>5519408457</v>
      </c>
      <c r="H15">
        <v>22720293</v>
      </c>
      <c r="I15" t="s">
        <v>29</v>
      </c>
      <c r="K15" t="s">
        <v>30</v>
      </c>
      <c r="L15" t="s">
        <v>40</v>
      </c>
      <c r="M15">
        <v>49.999999998</v>
      </c>
      <c r="N15">
        <v>0</v>
      </c>
      <c r="O15">
        <v>49.999999998</v>
      </c>
      <c r="P15">
        <v>0</v>
      </c>
      <c r="Q15">
        <v>0</v>
      </c>
      <c r="R15">
        <v>49.999999998</v>
      </c>
      <c r="S15" t="s">
        <v>37</v>
      </c>
      <c r="T15" t="s">
        <v>33</v>
      </c>
      <c r="U15">
        <v>10001013</v>
      </c>
      <c r="Y15" t="s">
        <v>34</v>
      </c>
      <c r="Z15" t="s">
        <v>35</v>
      </c>
    </row>
    <row r="16" spans="1:26" x14ac:dyDescent="0.45">
      <c r="A16" t="s">
        <v>26</v>
      </c>
      <c r="B16">
        <v>151352921</v>
      </c>
      <c r="C16">
        <v>10001013</v>
      </c>
      <c r="D16" t="s">
        <v>27</v>
      </c>
      <c r="E16" t="s">
        <v>28</v>
      </c>
      <c r="F16">
        <v>348467</v>
      </c>
      <c r="G16">
        <v>5526135545</v>
      </c>
      <c r="H16">
        <v>22487717</v>
      </c>
      <c r="I16" t="s">
        <v>29</v>
      </c>
      <c r="K16" t="s">
        <v>30</v>
      </c>
      <c r="L16" t="s">
        <v>40</v>
      </c>
      <c r="M16">
        <v>49.999999998</v>
      </c>
      <c r="N16">
        <v>0</v>
      </c>
      <c r="O16">
        <v>49.999999998</v>
      </c>
      <c r="P16">
        <v>0</v>
      </c>
      <c r="Q16">
        <v>0</v>
      </c>
      <c r="R16">
        <v>49.999999998</v>
      </c>
      <c r="S16" t="s">
        <v>37</v>
      </c>
      <c r="T16" t="s">
        <v>33</v>
      </c>
      <c r="U16">
        <v>10001013</v>
      </c>
      <c r="Y16" t="s">
        <v>34</v>
      </c>
      <c r="Z16" t="s">
        <v>35</v>
      </c>
    </row>
    <row r="17" spans="1:26" x14ac:dyDescent="0.45">
      <c r="A17" t="s">
        <v>26</v>
      </c>
      <c r="B17">
        <v>151328060</v>
      </c>
      <c r="C17">
        <v>10000064</v>
      </c>
      <c r="D17" t="s">
        <v>27</v>
      </c>
      <c r="E17" t="s">
        <v>28</v>
      </c>
      <c r="F17">
        <v>348485</v>
      </c>
      <c r="G17">
        <v>5553860758</v>
      </c>
      <c r="H17">
        <v>22087667</v>
      </c>
      <c r="I17" t="s">
        <v>29</v>
      </c>
      <c r="K17" t="s">
        <v>30</v>
      </c>
      <c r="L17" t="s">
        <v>45</v>
      </c>
      <c r="M17">
        <v>49.999999998</v>
      </c>
      <c r="N17">
        <v>0</v>
      </c>
      <c r="O17">
        <v>49.999999998</v>
      </c>
      <c r="P17">
        <v>0</v>
      </c>
      <c r="Q17">
        <v>0</v>
      </c>
      <c r="R17">
        <v>49.999999998</v>
      </c>
      <c r="S17" t="s">
        <v>32</v>
      </c>
      <c r="T17" t="s">
        <v>33</v>
      </c>
      <c r="U17">
        <v>10000064</v>
      </c>
      <c r="Y17" t="s">
        <v>34</v>
      </c>
      <c r="Z17" t="s">
        <v>35</v>
      </c>
    </row>
    <row r="18" spans="1:26" x14ac:dyDescent="0.45">
      <c r="A18" t="s">
        <v>26</v>
      </c>
      <c r="B18">
        <v>151324616</v>
      </c>
      <c r="C18">
        <v>10000064</v>
      </c>
      <c r="D18" t="s">
        <v>27</v>
      </c>
      <c r="E18" t="s">
        <v>28</v>
      </c>
      <c r="F18">
        <v>346126</v>
      </c>
      <c r="G18">
        <v>5524652832</v>
      </c>
      <c r="H18">
        <v>22117421</v>
      </c>
      <c r="I18" t="s">
        <v>29</v>
      </c>
      <c r="K18" t="s">
        <v>30</v>
      </c>
      <c r="L18" t="s">
        <v>40</v>
      </c>
      <c r="M18">
        <v>49.999999998</v>
      </c>
      <c r="N18">
        <v>0</v>
      </c>
      <c r="O18">
        <v>49.999999998</v>
      </c>
      <c r="P18">
        <v>0</v>
      </c>
      <c r="Q18">
        <v>0</v>
      </c>
      <c r="R18">
        <v>49.999999998</v>
      </c>
      <c r="S18" t="s">
        <v>37</v>
      </c>
      <c r="T18" t="s">
        <v>33</v>
      </c>
      <c r="U18">
        <v>10000064</v>
      </c>
      <c r="Y18" t="s">
        <v>34</v>
      </c>
      <c r="Z18" t="s">
        <v>35</v>
      </c>
    </row>
    <row r="19" spans="1:26" x14ac:dyDescent="0.45">
      <c r="A19" t="s">
        <v>26</v>
      </c>
      <c r="B19">
        <v>151273140</v>
      </c>
      <c r="C19">
        <v>10000064</v>
      </c>
      <c r="D19" t="s">
        <v>27</v>
      </c>
      <c r="E19" t="s">
        <v>28</v>
      </c>
      <c r="F19">
        <v>345974</v>
      </c>
      <c r="G19">
        <v>5550384561</v>
      </c>
      <c r="H19">
        <v>21374232</v>
      </c>
      <c r="I19" t="s">
        <v>29</v>
      </c>
      <c r="K19" t="s">
        <v>30</v>
      </c>
      <c r="L19" t="s">
        <v>46</v>
      </c>
      <c r="M19">
        <v>49.999999998</v>
      </c>
      <c r="N19">
        <v>0</v>
      </c>
      <c r="O19">
        <v>49.999999998</v>
      </c>
      <c r="P19">
        <v>0</v>
      </c>
      <c r="Q19">
        <v>0</v>
      </c>
      <c r="R19">
        <v>49.999999998</v>
      </c>
      <c r="S19" t="s">
        <v>43</v>
      </c>
      <c r="T19" t="s">
        <v>33</v>
      </c>
      <c r="U19">
        <v>10000064</v>
      </c>
      <c r="Y19" t="s">
        <v>34</v>
      </c>
      <c r="Z19" t="s">
        <v>35</v>
      </c>
    </row>
    <row r="20" spans="1:26" x14ac:dyDescent="0.45">
      <c r="A20" t="s">
        <v>26</v>
      </c>
      <c r="B20">
        <v>151377469</v>
      </c>
      <c r="C20">
        <v>10001013</v>
      </c>
      <c r="D20" t="s">
        <v>27</v>
      </c>
      <c r="E20" t="s">
        <v>28</v>
      </c>
      <c r="F20">
        <v>351030</v>
      </c>
      <c r="G20">
        <v>5522315761</v>
      </c>
      <c r="H20">
        <v>22778280</v>
      </c>
      <c r="I20" t="s">
        <v>29</v>
      </c>
      <c r="K20" t="s">
        <v>30</v>
      </c>
      <c r="L20" t="s">
        <v>47</v>
      </c>
      <c r="M20">
        <v>49.999999998</v>
      </c>
      <c r="N20">
        <v>0</v>
      </c>
      <c r="O20">
        <v>49.999999998</v>
      </c>
      <c r="P20">
        <v>0</v>
      </c>
      <c r="Q20">
        <v>0</v>
      </c>
      <c r="R20">
        <v>49.999999998</v>
      </c>
      <c r="S20" t="s">
        <v>37</v>
      </c>
      <c r="T20" t="s">
        <v>33</v>
      </c>
      <c r="U20">
        <v>10001013</v>
      </c>
      <c r="Y20" t="s">
        <v>48</v>
      </c>
      <c r="Z20" t="s">
        <v>49</v>
      </c>
    </row>
    <row r="21" spans="1:26" x14ac:dyDescent="0.45">
      <c r="A21" t="s">
        <v>26</v>
      </c>
      <c r="B21">
        <v>151386495</v>
      </c>
      <c r="C21">
        <v>10001013</v>
      </c>
      <c r="D21" t="s">
        <v>27</v>
      </c>
      <c r="E21" t="s">
        <v>28</v>
      </c>
      <c r="F21">
        <v>348467</v>
      </c>
      <c r="G21">
        <v>5519444840</v>
      </c>
      <c r="H21">
        <v>22782809</v>
      </c>
      <c r="I21" t="s">
        <v>29</v>
      </c>
      <c r="K21" t="s">
        <v>30</v>
      </c>
      <c r="L21" t="s">
        <v>42</v>
      </c>
      <c r="M21">
        <v>49.999999998</v>
      </c>
      <c r="N21">
        <v>0</v>
      </c>
      <c r="O21">
        <v>49.999999998</v>
      </c>
      <c r="P21">
        <v>0</v>
      </c>
      <c r="Q21">
        <v>0</v>
      </c>
      <c r="R21">
        <v>49.999999998</v>
      </c>
      <c r="S21" t="s">
        <v>37</v>
      </c>
      <c r="T21" t="s">
        <v>33</v>
      </c>
      <c r="U21">
        <v>10001013</v>
      </c>
      <c r="Y21" t="s">
        <v>48</v>
      </c>
      <c r="Z21" t="s">
        <v>49</v>
      </c>
    </row>
    <row r="22" spans="1:26" x14ac:dyDescent="0.45">
      <c r="A22" t="s">
        <v>26</v>
      </c>
      <c r="B22">
        <v>151386479</v>
      </c>
      <c r="C22">
        <v>10000064</v>
      </c>
      <c r="D22" t="s">
        <v>27</v>
      </c>
      <c r="E22" t="s">
        <v>28</v>
      </c>
      <c r="F22">
        <v>351040</v>
      </c>
      <c r="G22">
        <v>5550871111</v>
      </c>
      <c r="H22">
        <v>22783513</v>
      </c>
      <c r="I22" t="s">
        <v>29</v>
      </c>
      <c r="K22" t="s">
        <v>30</v>
      </c>
      <c r="L22" t="s">
        <v>39</v>
      </c>
      <c r="M22">
        <v>49.999999998</v>
      </c>
      <c r="N22">
        <v>0</v>
      </c>
      <c r="O22">
        <v>49.999999998</v>
      </c>
      <c r="P22">
        <v>0</v>
      </c>
      <c r="Q22">
        <v>0</v>
      </c>
      <c r="R22">
        <v>49.999999998</v>
      </c>
      <c r="S22" t="s">
        <v>32</v>
      </c>
      <c r="T22" t="s">
        <v>33</v>
      </c>
      <c r="U22">
        <v>10000064</v>
      </c>
      <c r="Y22" t="s">
        <v>48</v>
      </c>
      <c r="Z22" t="s">
        <v>49</v>
      </c>
    </row>
    <row r="23" spans="1:26" x14ac:dyDescent="0.45">
      <c r="A23" t="s">
        <v>26</v>
      </c>
      <c r="B23">
        <v>151386396</v>
      </c>
      <c r="C23">
        <v>10000064</v>
      </c>
      <c r="D23" t="s">
        <v>27</v>
      </c>
      <c r="E23" t="s">
        <v>28</v>
      </c>
      <c r="F23">
        <v>351037</v>
      </c>
      <c r="G23">
        <v>5517138169</v>
      </c>
      <c r="H23">
        <v>22782168</v>
      </c>
      <c r="I23" t="s">
        <v>29</v>
      </c>
      <c r="K23" t="s">
        <v>30</v>
      </c>
      <c r="L23" t="s">
        <v>31</v>
      </c>
      <c r="M23">
        <v>49.999999998</v>
      </c>
      <c r="N23">
        <v>0</v>
      </c>
      <c r="O23">
        <v>49.999999998</v>
      </c>
      <c r="P23">
        <v>0</v>
      </c>
      <c r="Q23">
        <v>0</v>
      </c>
      <c r="R23">
        <v>49.999999998</v>
      </c>
      <c r="S23" t="s">
        <v>50</v>
      </c>
      <c r="T23" t="s">
        <v>33</v>
      </c>
      <c r="U23">
        <v>10000064</v>
      </c>
      <c r="Y23" t="s">
        <v>48</v>
      </c>
      <c r="Z23" t="s">
        <v>49</v>
      </c>
    </row>
    <row r="24" spans="1:26" x14ac:dyDescent="0.45">
      <c r="A24" t="s">
        <v>26</v>
      </c>
      <c r="B24">
        <v>151384648</v>
      </c>
      <c r="C24">
        <v>10000064</v>
      </c>
      <c r="D24" t="s">
        <v>27</v>
      </c>
      <c r="E24" t="s">
        <v>28</v>
      </c>
      <c r="F24">
        <v>351040</v>
      </c>
      <c r="G24">
        <v>5559227682</v>
      </c>
      <c r="H24">
        <v>22771134</v>
      </c>
      <c r="I24" t="s">
        <v>29</v>
      </c>
      <c r="K24" t="s">
        <v>30</v>
      </c>
      <c r="L24" t="s">
        <v>45</v>
      </c>
      <c r="M24">
        <v>49.999999998</v>
      </c>
      <c r="N24">
        <v>0</v>
      </c>
      <c r="O24">
        <v>49.999999998</v>
      </c>
      <c r="P24">
        <v>0</v>
      </c>
      <c r="Q24">
        <v>0</v>
      </c>
      <c r="R24">
        <v>49.999999998</v>
      </c>
      <c r="S24" t="s">
        <v>37</v>
      </c>
      <c r="T24" t="s">
        <v>33</v>
      </c>
      <c r="U24">
        <v>10000064</v>
      </c>
      <c r="Y24" t="s">
        <v>48</v>
      </c>
      <c r="Z24" t="s">
        <v>49</v>
      </c>
    </row>
    <row r="25" spans="1:26" x14ac:dyDescent="0.45">
      <c r="A25" t="s">
        <v>26</v>
      </c>
      <c r="B25">
        <v>151384604</v>
      </c>
      <c r="C25">
        <v>10000064</v>
      </c>
      <c r="D25" t="s">
        <v>27</v>
      </c>
      <c r="E25" t="s">
        <v>28</v>
      </c>
      <c r="F25">
        <v>351037</v>
      </c>
      <c r="G25">
        <v>5524730701</v>
      </c>
      <c r="H25">
        <v>22761757</v>
      </c>
      <c r="I25" t="s">
        <v>29</v>
      </c>
      <c r="K25" t="s">
        <v>30</v>
      </c>
      <c r="L25" t="s">
        <v>39</v>
      </c>
      <c r="M25">
        <v>49.999999998</v>
      </c>
      <c r="N25">
        <v>0</v>
      </c>
      <c r="O25">
        <v>49.999999998</v>
      </c>
      <c r="P25">
        <v>0</v>
      </c>
      <c r="Q25">
        <v>0</v>
      </c>
      <c r="R25">
        <v>49.999999998</v>
      </c>
      <c r="S25" t="s">
        <v>32</v>
      </c>
      <c r="T25" t="s">
        <v>33</v>
      </c>
      <c r="U25">
        <v>10000064</v>
      </c>
      <c r="Y25" t="s">
        <v>48</v>
      </c>
      <c r="Z25" t="s">
        <v>49</v>
      </c>
    </row>
    <row r="26" spans="1:26" x14ac:dyDescent="0.45">
      <c r="A26" t="s">
        <v>26</v>
      </c>
      <c r="B26">
        <v>151384340</v>
      </c>
      <c r="C26">
        <v>10001013</v>
      </c>
      <c r="D26" t="s">
        <v>27</v>
      </c>
      <c r="E26" t="s">
        <v>28</v>
      </c>
      <c r="F26">
        <v>348467</v>
      </c>
      <c r="G26">
        <v>5552053248</v>
      </c>
      <c r="H26">
        <v>22820182</v>
      </c>
      <c r="I26" t="s">
        <v>29</v>
      </c>
      <c r="K26" t="s">
        <v>30</v>
      </c>
      <c r="L26" t="s">
        <v>42</v>
      </c>
      <c r="M26">
        <v>49.999999998</v>
      </c>
      <c r="N26">
        <v>0</v>
      </c>
      <c r="O26">
        <v>49.999999998</v>
      </c>
      <c r="P26">
        <v>0</v>
      </c>
      <c r="Q26">
        <v>0</v>
      </c>
      <c r="R26">
        <v>49.999999998</v>
      </c>
      <c r="S26" t="s">
        <v>37</v>
      </c>
      <c r="T26" t="s">
        <v>33</v>
      </c>
      <c r="U26">
        <v>10001013</v>
      </c>
      <c r="Y26" t="s">
        <v>48</v>
      </c>
      <c r="Z26" t="s">
        <v>49</v>
      </c>
    </row>
    <row r="27" spans="1:26" x14ac:dyDescent="0.45">
      <c r="A27" t="s">
        <v>26</v>
      </c>
      <c r="B27">
        <v>151383106</v>
      </c>
      <c r="C27">
        <v>10000064</v>
      </c>
      <c r="D27" t="s">
        <v>27</v>
      </c>
      <c r="E27" t="s">
        <v>28</v>
      </c>
      <c r="F27">
        <v>350703</v>
      </c>
      <c r="G27">
        <v>5570388858</v>
      </c>
      <c r="H27">
        <v>22758735</v>
      </c>
      <c r="I27" t="s">
        <v>29</v>
      </c>
      <c r="K27" t="s">
        <v>30</v>
      </c>
      <c r="L27" t="s">
        <v>40</v>
      </c>
      <c r="M27">
        <v>49.999999998</v>
      </c>
      <c r="N27">
        <v>0</v>
      </c>
      <c r="O27">
        <v>49.999999998</v>
      </c>
      <c r="P27">
        <v>0</v>
      </c>
      <c r="Q27">
        <v>0</v>
      </c>
      <c r="R27">
        <v>49.999999998</v>
      </c>
      <c r="S27" t="s">
        <v>37</v>
      </c>
      <c r="T27" t="s">
        <v>33</v>
      </c>
      <c r="U27">
        <v>10000064</v>
      </c>
      <c r="Y27" t="s">
        <v>48</v>
      </c>
      <c r="Z27" t="s">
        <v>49</v>
      </c>
    </row>
    <row r="28" spans="1:26" x14ac:dyDescent="0.45">
      <c r="A28" t="s">
        <v>26</v>
      </c>
      <c r="B28">
        <v>151382237</v>
      </c>
      <c r="C28">
        <v>10000064</v>
      </c>
      <c r="D28" t="s">
        <v>27</v>
      </c>
      <c r="E28" t="s">
        <v>28</v>
      </c>
      <c r="F28">
        <v>348485</v>
      </c>
      <c r="G28">
        <v>5522344501</v>
      </c>
      <c r="H28">
        <v>22730966</v>
      </c>
      <c r="I28" t="s">
        <v>29</v>
      </c>
      <c r="K28" t="s">
        <v>30</v>
      </c>
      <c r="L28" t="s">
        <v>42</v>
      </c>
      <c r="M28">
        <v>49.999999998</v>
      </c>
      <c r="N28">
        <v>0</v>
      </c>
      <c r="O28">
        <v>49.999999998</v>
      </c>
      <c r="P28">
        <v>0</v>
      </c>
      <c r="Q28">
        <v>0</v>
      </c>
      <c r="R28">
        <v>49.999999998</v>
      </c>
      <c r="S28" t="s">
        <v>51</v>
      </c>
      <c r="T28" t="s">
        <v>33</v>
      </c>
      <c r="U28">
        <v>10000064</v>
      </c>
      <c r="Y28" t="s">
        <v>48</v>
      </c>
      <c r="Z28" t="s">
        <v>49</v>
      </c>
    </row>
    <row r="29" spans="1:26" x14ac:dyDescent="0.45">
      <c r="A29" t="s">
        <v>26</v>
      </c>
      <c r="B29">
        <v>151379619</v>
      </c>
      <c r="C29">
        <v>10001013</v>
      </c>
      <c r="D29" t="s">
        <v>27</v>
      </c>
      <c r="E29" t="s">
        <v>28</v>
      </c>
      <c r="F29">
        <v>351030</v>
      </c>
      <c r="G29">
        <v>5525895949</v>
      </c>
      <c r="H29">
        <v>22706098</v>
      </c>
      <c r="I29" t="s">
        <v>29</v>
      </c>
      <c r="K29" t="s">
        <v>30</v>
      </c>
      <c r="L29" t="s">
        <v>52</v>
      </c>
      <c r="M29">
        <v>49.999999998</v>
      </c>
      <c r="N29">
        <v>0</v>
      </c>
      <c r="O29">
        <v>49.999999998</v>
      </c>
      <c r="P29">
        <v>0</v>
      </c>
      <c r="Q29">
        <v>0</v>
      </c>
      <c r="R29">
        <v>49.999999998</v>
      </c>
      <c r="S29" t="s">
        <v>32</v>
      </c>
      <c r="T29" t="s">
        <v>33</v>
      </c>
      <c r="U29">
        <v>10001013</v>
      </c>
      <c r="Y29" t="s">
        <v>48</v>
      </c>
      <c r="Z29" t="s">
        <v>49</v>
      </c>
    </row>
    <row r="30" spans="1:26" x14ac:dyDescent="0.45">
      <c r="A30" t="s">
        <v>26</v>
      </c>
      <c r="B30">
        <v>151379116</v>
      </c>
      <c r="C30">
        <v>10000064</v>
      </c>
      <c r="D30" t="s">
        <v>27</v>
      </c>
      <c r="E30" t="s">
        <v>28</v>
      </c>
      <c r="F30">
        <v>350703</v>
      </c>
      <c r="G30">
        <v>5550854349</v>
      </c>
      <c r="H30">
        <v>22778287</v>
      </c>
      <c r="I30" t="s">
        <v>29</v>
      </c>
      <c r="K30" t="s">
        <v>30</v>
      </c>
      <c r="L30" t="s">
        <v>40</v>
      </c>
      <c r="M30">
        <v>49.999999998</v>
      </c>
      <c r="N30">
        <v>0</v>
      </c>
      <c r="O30">
        <v>49.999999998</v>
      </c>
      <c r="P30">
        <v>0</v>
      </c>
      <c r="Q30">
        <v>0</v>
      </c>
      <c r="R30">
        <v>49.999999998</v>
      </c>
      <c r="S30" t="s">
        <v>53</v>
      </c>
      <c r="T30" t="s">
        <v>33</v>
      </c>
      <c r="U30">
        <v>10000064</v>
      </c>
      <c r="Y30" t="s">
        <v>48</v>
      </c>
      <c r="Z30" t="s">
        <v>49</v>
      </c>
    </row>
    <row r="31" spans="1:26" x14ac:dyDescent="0.45">
      <c r="A31" t="s">
        <v>26</v>
      </c>
      <c r="B31">
        <v>151379081</v>
      </c>
      <c r="C31">
        <v>10000064</v>
      </c>
      <c r="D31" t="s">
        <v>27</v>
      </c>
      <c r="E31" t="s">
        <v>28</v>
      </c>
      <c r="F31">
        <v>350703</v>
      </c>
      <c r="G31">
        <v>5522088611</v>
      </c>
      <c r="H31">
        <v>22692935</v>
      </c>
      <c r="I31" t="s">
        <v>29</v>
      </c>
      <c r="K31" t="s">
        <v>30</v>
      </c>
      <c r="L31" t="s">
        <v>42</v>
      </c>
      <c r="M31">
        <v>49.999999998</v>
      </c>
      <c r="N31">
        <v>0</v>
      </c>
      <c r="O31">
        <v>49.999999998</v>
      </c>
      <c r="P31">
        <v>0</v>
      </c>
      <c r="Q31">
        <v>0</v>
      </c>
      <c r="R31">
        <v>49.999999998</v>
      </c>
      <c r="S31" t="s">
        <v>32</v>
      </c>
      <c r="T31" t="s">
        <v>33</v>
      </c>
      <c r="U31">
        <v>10000064</v>
      </c>
      <c r="Y31" t="s">
        <v>48</v>
      </c>
      <c r="Z31" t="s">
        <v>49</v>
      </c>
    </row>
    <row r="32" spans="1:26" x14ac:dyDescent="0.45">
      <c r="A32" t="s">
        <v>26</v>
      </c>
      <c r="B32">
        <v>151388431</v>
      </c>
      <c r="C32">
        <v>10001013</v>
      </c>
      <c r="D32" t="s">
        <v>27</v>
      </c>
      <c r="E32" t="s">
        <v>28</v>
      </c>
      <c r="F32">
        <v>351030</v>
      </c>
      <c r="G32">
        <v>5516439131</v>
      </c>
      <c r="H32">
        <v>22806585</v>
      </c>
      <c r="I32" t="s">
        <v>29</v>
      </c>
      <c r="K32" t="s">
        <v>30</v>
      </c>
      <c r="L32" t="s">
        <v>42</v>
      </c>
      <c r="M32">
        <v>49.999999998</v>
      </c>
      <c r="N32">
        <v>0</v>
      </c>
      <c r="O32">
        <v>49.999999998</v>
      </c>
      <c r="P32">
        <v>0</v>
      </c>
      <c r="Q32">
        <v>0</v>
      </c>
      <c r="R32">
        <v>49.999999998</v>
      </c>
      <c r="S32" t="s">
        <v>32</v>
      </c>
      <c r="T32" t="s">
        <v>33</v>
      </c>
      <c r="U32">
        <v>10001013</v>
      </c>
      <c r="Y32" t="s">
        <v>48</v>
      </c>
      <c r="Z32" t="s">
        <v>49</v>
      </c>
    </row>
    <row r="33" spans="1:26" x14ac:dyDescent="0.45">
      <c r="A33" t="s">
        <v>26</v>
      </c>
      <c r="B33">
        <v>151373967</v>
      </c>
      <c r="C33">
        <v>10001013</v>
      </c>
      <c r="D33" t="s">
        <v>27</v>
      </c>
      <c r="E33" t="s">
        <v>28</v>
      </c>
      <c r="F33">
        <v>348467</v>
      </c>
      <c r="G33">
        <v>5594427611</v>
      </c>
      <c r="H33">
        <v>22604566</v>
      </c>
      <c r="I33" t="s">
        <v>29</v>
      </c>
      <c r="K33" t="s">
        <v>30</v>
      </c>
      <c r="L33" t="s">
        <v>40</v>
      </c>
      <c r="M33">
        <v>49.999999998</v>
      </c>
      <c r="N33">
        <v>0</v>
      </c>
      <c r="O33">
        <v>49.999999998</v>
      </c>
      <c r="P33">
        <v>0</v>
      </c>
      <c r="Q33">
        <v>0</v>
      </c>
      <c r="R33">
        <v>49.999999998</v>
      </c>
      <c r="S33" t="s">
        <v>37</v>
      </c>
      <c r="T33" t="s">
        <v>33</v>
      </c>
      <c r="U33">
        <v>10001013</v>
      </c>
      <c r="Y33" t="s">
        <v>48</v>
      </c>
      <c r="Z33" t="s">
        <v>49</v>
      </c>
    </row>
    <row r="34" spans="1:26" x14ac:dyDescent="0.45">
      <c r="A34" t="s">
        <v>26</v>
      </c>
      <c r="B34">
        <v>151370994</v>
      </c>
      <c r="C34">
        <v>10001013</v>
      </c>
      <c r="D34" t="s">
        <v>27</v>
      </c>
      <c r="E34" t="s">
        <v>28</v>
      </c>
      <c r="F34">
        <v>348467</v>
      </c>
      <c r="G34">
        <v>5556180154</v>
      </c>
      <c r="H34">
        <v>22577171</v>
      </c>
      <c r="I34" t="s">
        <v>29</v>
      </c>
      <c r="K34" t="s">
        <v>30</v>
      </c>
      <c r="L34" t="s">
        <v>42</v>
      </c>
      <c r="M34">
        <v>49.999999998</v>
      </c>
      <c r="N34">
        <v>0</v>
      </c>
      <c r="O34">
        <v>49.999999998</v>
      </c>
      <c r="P34">
        <v>0</v>
      </c>
      <c r="Q34">
        <v>0</v>
      </c>
      <c r="R34">
        <v>49.999999998</v>
      </c>
      <c r="S34" t="s">
        <v>44</v>
      </c>
      <c r="T34" t="s">
        <v>33</v>
      </c>
      <c r="U34">
        <v>10001013</v>
      </c>
      <c r="Y34" t="s">
        <v>48</v>
      </c>
      <c r="Z34" t="s">
        <v>49</v>
      </c>
    </row>
    <row r="35" spans="1:26" x14ac:dyDescent="0.45">
      <c r="A35" t="s">
        <v>26</v>
      </c>
      <c r="B35">
        <v>151368923</v>
      </c>
      <c r="C35">
        <v>10000064</v>
      </c>
      <c r="D35" t="s">
        <v>27</v>
      </c>
      <c r="E35" t="s">
        <v>28</v>
      </c>
      <c r="F35">
        <v>348485</v>
      </c>
      <c r="G35">
        <v>5556679257</v>
      </c>
      <c r="H35">
        <v>22594499</v>
      </c>
      <c r="I35" t="s">
        <v>29</v>
      </c>
      <c r="K35" t="s">
        <v>30</v>
      </c>
      <c r="L35" t="s">
        <v>40</v>
      </c>
      <c r="M35">
        <v>49.999999998</v>
      </c>
      <c r="N35">
        <v>0</v>
      </c>
      <c r="O35">
        <v>49.999999998</v>
      </c>
      <c r="P35">
        <v>0</v>
      </c>
      <c r="Q35">
        <v>0</v>
      </c>
      <c r="R35">
        <v>49.999999998</v>
      </c>
      <c r="S35" t="s">
        <v>37</v>
      </c>
      <c r="T35" t="s">
        <v>33</v>
      </c>
      <c r="U35">
        <v>10000064</v>
      </c>
      <c r="Y35" t="s">
        <v>48</v>
      </c>
      <c r="Z35" t="s">
        <v>49</v>
      </c>
    </row>
    <row r="36" spans="1:26" x14ac:dyDescent="0.45">
      <c r="A36" t="s">
        <v>26</v>
      </c>
      <c r="B36">
        <v>151368785</v>
      </c>
      <c r="C36">
        <v>10001013</v>
      </c>
      <c r="D36" t="s">
        <v>27</v>
      </c>
      <c r="E36" t="s">
        <v>28</v>
      </c>
      <c r="F36">
        <v>345495</v>
      </c>
      <c r="G36">
        <v>5556717914</v>
      </c>
      <c r="H36">
        <v>22555692</v>
      </c>
      <c r="I36" t="s">
        <v>29</v>
      </c>
      <c r="K36" t="s">
        <v>30</v>
      </c>
      <c r="L36" t="s">
        <v>40</v>
      </c>
      <c r="M36">
        <v>299.99999997499998</v>
      </c>
      <c r="N36">
        <v>249.99999998999999</v>
      </c>
      <c r="O36">
        <v>49.999999998</v>
      </c>
      <c r="P36">
        <v>0</v>
      </c>
      <c r="Q36">
        <v>0</v>
      </c>
      <c r="R36">
        <v>299.99999997499998</v>
      </c>
      <c r="S36" t="s">
        <v>37</v>
      </c>
      <c r="T36" t="s">
        <v>54</v>
      </c>
      <c r="U36">
        <v>10001013</v>
      </c>
      <c r="Y36" t="s">
        <v>48</v>
      </c>
      <c r="Z36" t="s">
        <v>49</v>
      </c>
    </row>
    <row r="37" spans="1:26" x14ac:dyDescent="0.45">
      <c r="A37" t="s">
        <v>26</v>
      </c>
      <c r="B37">
        <v>151368692</v>
      </c>
      <c r="C37">
        <v>10001013</v>
      </c>
      <c r="D37" t="s">
        <v>27</v>
      </c>
      <c r="E37" t="s">
        <v>28</v>
      </c>
      <c r="F37">
        <v>348467</v>
      </c>
      <c r="G37">
        <v>5554219400</v>
      </c>
      <c r="H37">
        <v>22548087</v>
      </c>
      <c r="I37" t="s">
        <v>29</v>
      </c>
      <c r="K37" t="s">
        <v>30</v>
      </c>
      <c r="L37" t="s">
        <v>42</v>
      </c>
      <c r="M37">
        <v>49.999999998</v>
      </c>
      <c r="N37">
        <v>0</v>
      </c>
      <c r="O37">
        <v>49.999999998</v>
      </c>
      <c r="P37">
        <v>0</v>
      </c>
      <c r="Q37">
        <v>0</v>
      </c>
      <c r="R37">
        <v>49.999999998</v>
      </c>
      <c r="S37" t="s">
        <v>37</v>
      </c>
      <c r="T37" t="s">
        <v>33</v>
      </c>
      <c r="U37">
        <v>10001013</v>
      </c>
      <c r="Y37" t="s">
        <v>48</v>
      </c>
      <c r="Z37" t="s">
        <v>49</v>
      </c>
    </row>
    <row r="38" spans="1:26" x14ac:dyDescent="0.45">
      <c r="A38" t="s">
        <v>26</v>
      </c>
      <c r="B38">
        <v>151365830</v>
      </c>
      <c r="C38">
        <v>10000064</v>
      </c>
      <c r="D38" t="s">
        <v>27</v>
      </c>
      <c r="E38" t="s">
        <v>28</v>
      </c>
      <c r="F38">
        <v>346126</v>
      </c>
      <c r="G38">
        <v>5559198141</v>
      </c>
      <c r="H38">
        <v>22640192</v>
      </c>
      <c r="I38" t="s">
        <v>29</v>
      </c>
      <c r="K38" t="s">
        <v>30</v>
      </c>
      <c r="L38" t="s">
        <v>40</v>
      </c>
      <c r="M38">
        <v>49.999999998</v>
      </c>
      <c r="N38">
        <v>0</v>
      </c>
      <c r="O38">
        <v>49.999999998</v>
      </c>
      <c r="P38">
        <v>0</v>
      </c>
      <c r="Q38">
        <v>0</v>
      </c>
      <c r="R38">
        <v>49.999999998</v>
      </c>
      <c r="S38" t="s">
        <v>37</v>
      </c>
      <c r="T38" t="s">
        <v>33</v>
      </c>
      <c r="U38">
        <v>10000064</v>
      </c>
      <c r="Y38" t="s">
        <v>48</v>
      </c>
      <c r="Z38" t="s">
        <v>49</v>
      </c>
    </row>
    <row r="39" spans="1:26" x14ac:dyDescent="0.45">
      <c r="A39" t="s">
        <v>26</v>
      </c>
      <c r="B39">
        <v>151363995</v>
      </c>
      <c r="C39">
        <v>10001013</v>
      </c>
      <c r="D39" t="s">
        <v>27</v>
      </c>
      <c r="E39" t="s">
        <v>28</v>
      </c>
      <c r="F39">
        <v>348467</v>
      </c>
      <c r="G39">
        <v>5517078273</v>
      </c>
      <c r="H39">
        <v>22747554</v>
      </c>
      <c r="I39" t="s">
        <v>29</v>
      </c>
      <c r="K39" t="s">
        <v>30</v>
      </c>
      <c r="L39" t="s">
        <v>40</v>
      </c>
      <c r="M39">
        <v>49.999999998</v>
      </c>
      <c r="N39">
        <v>0</v>
      </c>
      <c r="O39">
        <v>49.999999998</v>
      </c>
      <c r="P39">
        <v>0</v>
      </c>
      <c r="Q39">
        <v>0</v>
      </c>
      <c r="R39">
        <v>49.999999998</v>
      </c>
      <c r="S39" t="s">
        <v>37</v>
      </c>
      <c r="T39" t="s">
        <v>33</v>
      </c>
      <c r="U39">
        <v>10001013</v>
      </c>
      <c r="Y39" t="s">
        <v>48</v>
      </c>
      <c r="Z39" t="s">
        <v>49</v>
      </c>
    </row>
    <row r="40" spans="1:26" x14ac:dyDescent="0.45">
      <c r="A40" t="s">
        <v>26</v>
      </c>
      <c r="B40">
        <v>151345069</v>
      </c>
      <c r="C40">
        <v>10000064</v>
      </c>
      <c r="D40" t="s">
        <v>27</v>
      </c>
      <c r="E40" t="s">
        <v>28</v>
      </c>
      <c r="F40">
        <v>346126</v>
      </c>
      <c r="G40">
        <v>5557259042</v>
      </c>
      <c r="H40">
        <v>22292271</v>
      </c>
      <c r="I40" t="s">
        <v>29</v>
      </c>
      <c r="K40" t="s">
        <v>30</v>
      </c>
      <c r="L40" t="s">
        <v>47</v>
      </c>
      <c r="M40">
        <v>299.99999997499998</v>
      </c>
      <c r="N40">
        <v>249.99999998999999</v>
      </c>
      <c r="O40">
        <v>49.999999998</v>
      </c>
      <c r="P40">
        <v>0</v>
      </c>
      <c r="Q40">
        <v>0</v>
      </c>
      <c r="R40">
        <v>299.99999997499998</v>
      </c>
      <c r="S40" t="s">
        <v>53</v>
      </c>
      <c r="T40" t="s">
        <v>54</v>
      </c>
      <c r="U40">
        <v>10000064</v>
      </c>
      <c r="Y40" t="s">
        <v>48</v>
      </c>
      <c r="Z40" t="s">
        <v>49</v>
      </c>
    </row>
    <row r="41" spans="1:26" x14ac:dyDescent="0.45">
      <c r="A41" t="s">
        <v>26</v>
      </c>
      <c r="B41">
        <v>151337890</v>
      </c>
      <c r="C41">
        <v>10001013</v>
      </c>
      <c r="D41" t="s">
        <v>27</v>
      </c>
      <c r="E41" t="s">
        <v>28</v>
      </c>
      <c r="F41">
        <v>348467</v>
      </c>
      <c r="G41">
        <v>5526101395</v>
      </c>
      <c r="H41">
        <v>22198919</v>
      </c>
      <c r="I41" t="s">
        <v>29</v>
      </c>
      <c r="K41" t="s">
        <v>30</v>
      </c>
      <c r="L41" t="s">
        <v>55</v>
      </c>
      <c r="M41">
        <v>49.999999998</v>
      </c>
      <c r="N41">
        <v>0</v>
      </c>
      <c r="O41">
        <v>49.999999998</v>
      </c>
      <c r="P41">
        <v>0</v>
      </c>
      <c r="Q41">
        <v>0</v>
      </c>
      <c r="R41">
        <v>49.999999998</v>
      </c>
      <c r="S41" t="s">
        <v>32</v>
      </c>
      <c r="T41" t="s">
        <v>33</v>
      </c>
      <c r="U41">
        <v>10001013</v>
      </c>
      <c r="Y41" t="s">
        <v>48</v>
      </c>
      <c r="Z41" t="s">
        <v>49</v>
      </c>
    </row>
    <row r="42" spans="1:26" x14ac:dyDescent="0.45">
      <c r="A42" t="s">
        <v>26</v>
      </c>
      <c r="B42">
        <v>151334172</v>
      </c>
      <c r="C42">
        <v>10001013</v>
      </c>
      <c r="D42" t="s">
        <v>27</v>
      </c>
      <c r="E42" t="s">
        <v>28</v>
      </c>
      <c r="F42">
        <v>344154</v>
      </c>
      <c r="G42">
        <v>5543176181</v>
      </c>
      <c r="H42">
        <v>22172308</v>
      </c>
      <c r="I42" t="s">
        <v>29</v>
      </c>
      <c r="K42" t="s">
        <v>30</v>
      </c>
      <c r="L42" t="s">
        <v>55</v>
      </c>
      <c r="M42">
        <v>49.999999998</v>
      </c>
      <c r="N42">
        <v>0</v>
      </c>
      <c r="O42">
        <v>49.999999998</v>
      </c>
      <c r="P42">
        <v>0</v>
      </c>
      <c r="Q42">
        <v>0</v>
      </c>
      <c r="R42">
        <v>49.999999998</v>
      </c>
      <c r="S42" t="s">
        <v>51</v>
      </c>
      <c r="T42" t="s">
        <v>33</v>
      </c>
      <c r="U42">
        <v>10001013</v>
      </c>
      <c r="Y42" t="s">
        <v>48</v>
      </c>
      <c r="Z42" t="s">
        <v>49</v>
      </c>
    </row>
    <row r="43" spans="1:26" x14ac:dyDescent="0.45">
      <c r="A43" t="s">
        <v>26</v>
      </c>
      <c r="B43">
        <v>151316131</v>
      </c>
      <c r="C43">
        <v>10000064</v>
      </c>
      <c r="D43" t="s">
        <v>27</v>
      </c>
      <c r="E43" t="s">
        <v>28</v>
      </c>
      <c r="F43">
        <v>346126</v>
      </c>
      <c r="G43">
        <v>5521565901</v>
      </c>
      <c r="H43">
        <v>22150168</v>
      </c>
      <c r="I43" t="s">
        <v>29</v>
      </c>
      <c r="K43" t="s">
        <v>30</v>
      </c>
      <c r="L43" t="s">
        <v>40</v>
      </c>
      <c r="M43">
        <v>49.999999998</v>
      </c>
      <c r="N43">
        <v>0</v>
      </c>
      <c r="O43">
        <v>49.999999998</v>
      </c>
      <c r="P43">
        <v>0</v>
      </c>
      <c r="Q43">
        <v>0</v>
      </c>
      <c r="R43">
        <v>49.999999998</v>
      </c>
      <c r="S43" t="s">
        <v>37</v>
      </c>
      <c r="T43" t="s">
        <v>33</v>
      </c>
      <c r="U43">
        <v>10000064</v>
      </c>
      <c r="Y43" t="s">
        <v>48</v>
      </c>
      <c r="Z43" t="s">
        <v>49</v>
      </c>
    </row>
    <row r="44" spans="1:26" x14ac:dyDescent="0.45">
      <c r="A44" t="s">
        <v>26</v>
      </c>
      <c r="B44">
        <v>151428390</v>
      </c>
      <c r="C44">
        <v>10001013</v>
      </c>
      <c r="D44" t="s">
        <v>27</v>
      </c>
      <c r="E44" t="s">
        <v>28</v>
      </c>
      <c r="F44">
        <v>345495</v>
      </c>
      <c r="G44">
        <v>5558409514</v>
      </c>
      <c r="H44">
        <v>23901523</v>
      </c>
      <c r="I44" t="s">
        <v>29</v>
      </c>
      <c r="K44" t="s">
        <v>30</v>
      </c>
      <c r="L44" t="s">
        <v>39</v>
      </c>
      <c r="M44">
        <v>249.99999998999999</v>
      </c>
      <c r="N44">
        <v>249.99999998999999</v>
      </c>
      <c r="O44">
        <v>0</v>
      </c>
      <c r="P44">
        <v>0</v>
      </c>
      <c r="Q44">
        <v>0</v>
      </c>
      <c r="R44">
        <v>249.99999998999999</v>
      </c>
      <c r="S44" t="s">
        <v>37</v>
      </c>
      <c r="T44" t="s">
        <v>38</v>
      </c>
      <c r="U44">
        <v>10001013</v>
      </c>
      <c r="Y44" t="s">
        <v>48</v>
      </c>
      <c r="Z44" t="s">
        <v>49</v>
      </c>
    </row>
    <row r="45" spans="1:26" x14ac:dyDescent="0.45">
      <c r="A45" t="s">
        <v>26</v>
      </c>
      <c r="B45">
        <v>151440375</v>
      </c>
      <c r="C45">
        <v>10001013</v>
      </c>
      <c r="D45" t="s">
        <v>27</v>
      </c>
      <c r="E45" t="s">
        <v>28</v>
      </c>
      <c r="F45">
        <v>348467</v>
      </c>
      <c r="G45">
        <v>5556184940</v>
      </c>
      <c r="H45">
        <v>24022834</v>
      </c>
      <c r="I45" t="s">
        <v>29</v>
      </c>
      <c r="K45" t="s">
        <v>30</v>
      </c>
      <c r="L45" t="s">
        <v>42</v>
      </c>
      <c r="M45">
        <v>249.99999998999999</v>
      </c>
      <c r="N45">
        <v>249.99999998999999</v>
      </c>
      <c r="O45">
        <v>0</v>
      </c>
      <c r="P45">
        <v>0</v>
      </c>
      <c r="Q45">
        <v>0</v>
      </c>
      <c r="R45">
        <v>249.99999998999999</v>
      </c>
      <c r="S45" t="s">
        <v>32</v>
      </c>
      <c r="T45" t="s">
        <v>38</v>
      </c>
      <c r="U45">
        <v>10001013</v>
      </c>
      <c r="Y45" t="s">
        <v>48</v>
      </c>
      <c r="Z45" t="s">
        <v>49</v>
      </c>
    </row>
    <row r="46" spans="1:26" x14ac:dyDescent="0.45">
      <c r="A46" t="s">
        <v>26</v>
      </c>
      <c r="B46">
        <v>151438772</v>
      </c>
      <c r="C46">
        <v>10001013</v>
      </c>
      <c r="D46" t="s">
        <v>27</v>
      </c>
      <c r="E46" t="s">
        <v>28</v>
      </c>
      <c r="F46">
        <v>348467</v>
      </c>
      <c r="G46">
        <v>5511049544</v>
      </c>
      <c r="H46">
        <v>24059074</v>
      </c>
      <c r="I46" t="s">
        <v>29</v>
      </c>
      <c r="K46" t="s">
        <v>30</v>
      </c>
      <c r="L46" t="s">
        <v>40</v>
      </c>
      <c r="M46">
        <v>249.99999998999999</v>
      </c>
      <c r="N46">
        <v>249.99999998999999</v>
      </c>
      <c r="O46">
        <v>0</v>
      </c>
      <c r="P46">
        <v>0</v>
      </c>
      <c r="Q46">
        <v>0</v>
      </c>
      <c r="R46">
        <v>249.99999998999999</v>
      </c>
      <c r="S46" t="s">
        <v>37</v>
      </c>
      <c r="T46" t="s">
        <v>38</v>
      </c>
      <c r="U46">
        <v>10001013</v>
      </c>
      <c r="Y46" t="s">
        <v>48</v>
      </c>
      <c r="Z46" t="s">
        <v>49</v>
      </c>
    </row>
    <row r="47" spans="1:26" x14ac:dyDescent="0.45">
      <c r="A47" t="s">
        <v>26</v>
      </c>
      <c r="B47">
        <v>151437578</v>
      </c>
      <c r="C47">
        <v>10000064</v>
      </c>
      <c r="D47" t="s">
        <v>27</v>
      </c>
      <c r="E47" t="s">
        <v>28</v>
      </c>
      <c r="F47">
        <v>348485</v>
      </c>
      <c r="G47">
        <v>5556538598</v>
      </c>
      <c r="H47">
        <v>24022053</v>
      </c>
      <c r="I47" t="s">
        <v>29</v>
      </c>
      <c r="K47" t="s">
        <v>30</v>
      </c>
      <c r="L47" t="s">
        <v>42</v>
      </c>
      <c r="M47">
        <v>249.99999998999999</v>
      </c>
      <c r="N47">
        <v>249.99999998999999</v>
      </c>
      <c r="O47">
        <v>0</v>
      </c>
      <c r="P47">
        <v>0</v>
      </c>
      <c r="Q47">
        <v>0</v>
      </c>
      <c r="R47">
        <v>249.99999998999999</v>
      </c>
      <c r="S47" t="s">
        <v>37</v>
      </c>
      <c r="T47" t="s">
        <v>38</v>
      </c>
      <c r="U47">
        <v>10000064</v>
      </c>
      <c r="Y47" t="s">
        <v>48</v>
      </c>
      <c r="Z47" t="s">
        <v>49</v>
      </c>
    </row>
    <row r="48" spans="1:26" x14ac:dyDescent="0.45">
      <c r="A48" t="s">
        <v>26</v>
      </c>
      <c r="B48">
        <v>151437536</v>
      </c>
      <c r="C48">
        <v>10000064</v>
      </c>
      <c r="D48" t="s">
        <v>27</v>
      </c>
      <c r="E48" t="s">
        <v>28</v>
      </c>
      <c r="F48">
        <v>348485</v>
      </c>
      <c r="G48">
        <v>5516734333</v>
      </c>
      <c r="H48">
        <v>23999326</v>
      </c>
      <c r="I48" t="s">
        <v>29</v>
      </c>
      <c r="K48" t="s">
        <v>30</v>
      </c>
      <c r="L48" t="s">
        <v>36</v>
      </c>
      <c r="M48">
        <v>249.99999998999999</v>
      </c>
      <c r="N48">
        <v>249.99999998999999</v>
      </c>
      <c r="O48">
        <v>0</v>
      </c>
      <c r="P48">
        <v>0</v>
      </c>
      <c r="Q48">
        <v>0</v>
      </c>
      <c r="R48">
        <v>249.99999998999999</v>
      </c>
      <c r="S48" t="s">
        <v>44</v>
      </c>
      <c r="T48" t="s">
        <v>38</v>
      </c>
      <c r="U48">
        <v>10000064</v>
      </c>
      <c r="Y48" t="s">
        <v>48</v>
      </c>
      <c r="Z48" t="s">
        <v>49</v>
      </c>
    </row>
    <row r="49" spans="1:26" x14ac:dyDescent="0.45">
      <c r="A49" t="s">
        <v>26</v>
      </c>
      <c r="B49">
        <v>151437088</v>
      </c>
      <c r="C49">
        <v>10000064</v>
      </c>
      <c r="D49" t="s">
        <v>27</v>
      </c>
      <c r="E49" t="s">
        <v>28</v>
      </c>
      <c r="F49">
        <v>346072</v>
      </c>
      <c r="G49">
        <v>5556412654</v>
      </c>
      <c r="H49">
        <v>24011181</v>
      </c>
      <c r="I49" t="s">
        <v>29</v>
      </c>
      <c r="K49" t="s">
        <v>30</v>
      </c>
      <c r="L49" t="s">
        <v>42</v>
      </c>
      <c r="M49">
        <v>249.99999998999999</v>
      </c>
      <c r="N49">
        <v>249.99999998999999</v>
      </c>
      <c r="O49">
        <v>0</v>
      </c>
      <c r="P49">
        <v>0</v>
      </c>
      <c r="Q49">
        <v>0</v>
      </c>
      <c r="R49">
        <v>249.99999998999999</v>
      </c>
      <c r="S49" t="s">
        <v>37</v>
      </c>
      <c r="T49" t="s">
        <v>38</v>
      </c>
      <c r="U49">
        <v>10000064</v>
      </c>
      <c r="Y49" t="s">
        <v>48</v>
      </c>
      <c r="Z49" t="s">
        <v>49</v>
      </c>
    </row>
    <row r="50" spans="1:26" x14ac:dyDescent="0.45">
      <c r="A50" t="s">
        <v>26</v>
      </c>
      <c r="B50">
        <v>151437027</v>
      </c>
      <c r="C50">
        <v>10000064</v>
      </c>
      <c r="D50" t="s">
        <v>27</v>
      </c>
      <c r="E50" t="s">
        <v>28</v>
      </c>
      <c r="F50">
        <v>346072</v>
      </c>
      <c r="G50">
        <v>5556752022</v>
      </c>
      <c r="H50">
        <v>24027548</v>
      </c>
      <c r="I50" t="s">
        <v>29</v>
      </c>
      <c r="K50" t="s">
        <v>30</v>
      </c>
      <c r="L50" t="s">
        <v>42</v>
      </c>
      <c r="M50">
        <v>249.99999998999999</v>
      </c>
      <c r="N50">
        <v>249.99999998999999</v>
      </c>
      <c r="O50">
        <v>0</v>
      </c>
      <c r="P50">
        <v>0</v>
      </c>
      <c r="Q50">
        <v>0</v>
      </c>
      <c r="R50">
        <v>249.99999998999999</v>
      </c>
      <c r="S50" t="s">
        <v>56</v>
      </c>
      <c r="T50" t="s">
        <v>38</v>
      </c>
      <c r="U50">
        <v>10000064</v>
      </c>
      <c r="Y50" t="s">
        <v>48</v>
      </c>
      <c r="Z50" t="s">
        <v>49</v>
      </c>
    </row>
    <row r="51" spans="1:26" x14ac:dyDescent="0.45">
      <c r="A51" t="s">
        <v>26</v>
      </c>
      <c r="B51">
        <v>151436375</v>
      </c>
      <c r="C51">
        <v>10000064</v>
      </c>
      <c r="D51" t="s">
        <v>27</v>
      </c>
      <c r="E51" t="s">
        <v>28</v>
      </c>
      <c r="F51">
        <v>352529</v>
      </c>
      <c r="G51">
        <v>5558591014</v>
      </c>
      <c r="H51">
        <v>23983232</v>
      </c>
      <c r="I51" t="s">
        <v>29</v>
      </c>
      <c r="K51" t="s">
        <v>30</v>
      </c>
      <c r="L51" t="s">
        <v>39</v>
      </c>
      <c r="M51">
        <v>249.99999998999999</v>
      </c>
      <c r="N51">
        <v>249.99999998999999</v>
      </c>
      <c r="O51">
        <v>0</v>
      </c>
      <c r="P51">
        <v>0</v>
      </c>
      <c r="Q51">
        <v>0</v>
      </c>
      <c r="R51">
        <v>249.99999998999999</v>
      </c>
      <c r="S51" t="s">
        <v>37</v>
      </c>
      <c r="T51" t="s">
        <v>38</v>
      </c>
      <c r="U51">
        <v>10000064</v>
      </c>
      <c r="Y51" t="s">
        <v>48</v>
      </c>
      <c r="Z51" t="s">
        <v>49</v>
      </c>
    </row>
    <row r="52" spans="1:26" x14ac:dyDescent="0.45">
      <c r="A52" t="s">
        <v>26</v>
      </c>
      <c r="B52">
        <v>151433451</v>
      </c>
      <c r="C52">
        <v>10001013</v>
      </c>
      <c r="D52" t="s">
        <v>27</v>
      </c>
      <c r="E52" t="s">
        <v>28</v>
      </c>
      <c r="F52">
        <v>348467</v>
      </c>
      <c r="G52">
        <v>5558635589</v>
      </c>
      <c r="H52">
        <v>23999401</v>
      </c>
      <c r="I52" t="s">
        <v>29</v>
      </c>
      <c r="K52" t="s">
        <v>30</v>
      </c>
      <c r="L52" t="s">
        <v>39</v>
      </c>
      <c r="M52">
        <v>249.99999998999999</v>
      </c>
      <c r="N52">
        <v>249.99999998999999</v>
      </c>
      <c r="O52">
        <v>0</v>
      </c>
      <c r="P52">
        <v>0</v>
      </c>
      <c r="Q52">
        <v>0</v>
      </c>
      <c r="R52">
        <v>249.99999998999999</v>
      </c>
      <c r="S52" t="s">
        <v>53</v>
      </c>
      <c r="T52" t="s">
        <v>38</v>
      </c>
      <c r="U52">
        <v>10001013</v>
      </c>
      <c r="Y52" t="s">
        <v>48</v>
      </c>
      <c r="Z52" t="s">
        <v>49</v>
      </c>
    </row>
    <row r="53" spans="1:26" x14ac:dyDescent="0.45">
      <c r="A53" t="s">
        <v>26</v>
      </c>
      <c r="B53">
        <v>151432662</v>
      </c>
      <c r="C53">
        <v>10000064</v>
      </c>
      <c r="D53" t="s">
        <v>27</v>
      </c>
      <c r="E53" t="s">
        <v>28</v>
      </c>
      <c r="F53">
        <v>346072</v>
      </c>
      <c r="G53">
        <v>5550854335</v>
      </c>
      <c r="H53">
        <v>23947687</v>
      </c>
      <c r="I53" t="s">
        <v>29</v>
      </c>
      <c r="K53" t="s">
        <v>30</v>
      </c>
      <c r="L53" t="s">
        <v>42</v>
      </c>
      <c r="M53">
        <v>249.99999998999999</v>
      </c>
      <c r="N53">
        <v>249.99999998999999</v>
      </c>
      <c r="O53">
        <v>0</v>
      </c>
      <c r="P53">
        <v>0</v>
      </c>
      <c r="Q53">
        <v>0</v>
      </c>
      <c r="R53">
        <v>249.99999998999999</v>
      </c>
      <c r="S53" t="s">
        <v>57</v>
      </c>
      <c r="T53" t="s">
        <v>38</v>
      </c>
      <c r="U53">
        <v>10000064</v>
      </c>
      <c r="Y53" t="s">
        <v>48</v>
      </c>
      <c r="Z53" t="s">
        <v>49</v>
      </c>
    </row>
    <row r="54" spans="1:26" x14ac:dyDescent="0.45">
      <c r="A54" t="s">
        <v>26</v>
      </c>
      <c r="B54">
        <v>151432596</v>
      </c>
      <c r="C54">
        <v>10000064</v>
      </c>
      <c r="D54" t="s">
        <v>27</v>
      </c>
      <c r="E54" t="s">
        <v>28</v>
      </c>
      <c r="F54">
        <v>346072</v>
      </c>
      <c r="G54">
        <v>5529243850</v>
      </c>
      <c r="H54">
        <v>23953054</v>
      </c>
      <c r="I54" t="s">
        <v>29</v>
      </c>
      <c r="K54" t="s">
        <v>30</v>
      </c>
      <c r="L54" t="s">
        <v>39</v>
      </c>
      <c r="M54">
        <v>249.99999998999999</v>
      </c>
      <c r="N54">
        <v>249.99999998999999</v>
      </c>
      <c r="O54">
        <v>0</v>
      </c>
      <c r="P54">
        <v>0</v>
      </c>
      <c r="Q54">
        <v>0</v>
      </c>
      <c r="R54">
        <v>249.99999998999999</v>
      </c>
      <c r="S54" t="s">
        <v>37</v>
      </c>
      <c r="T54" t="s">
        <v>38</v>
      </c>
      <c r="U54">
        <v>10000064</v>
      </c>
      <c r="Y54" t="s">
        <v>48</v>
      </c>
      <c r="Z54" t="s">
        <v>49</v>
      </c>
    </row>
    <row r="55" spans="1:26" x14ac:dyDescent="0.45">
      <c r="A55" t="s">
        <v>26</v>
      </c>
      <c r="B55">
        <v>151428398</v>
      </c>
      <c r="C55">
        <v>10001013</v>
      </c>
      <c r="D55" t="s">
        <v>27</v>
      </c>
      <c r="E55" t="s">
        <v>28</v>
      </c>
      <c r="F55">
        <v>348467</v>
      </c>
      <c r="G55">
        <v>5558434222</v>
      </c>
      <c r="H55">
        <v>23901714</v>
      </c>
      <c r="I55" t="s">
        <v>29</v>
      </c>
      <c r="K55" t="s">
        <v>30</v>
      </c>
      <c r="L55" t="s">
        <v>39</v>
      </c>
      <c r="M55">
        <v>249.99999998999999</v>
      </c>
      <c r="N55">
        <v>249.99999998999999</v>
      </c>
      <c r="O55">
        <v>0</v>
      </c>
      <c r="P55">
        <v>0</v>
      </c>
      <c r="Q55">
        <v>0</v>
      </c>
      <c r="R55">
        <v>249.99999998999999</v>
      </c>
      <c r="S55" t="s">
        <v>37</v>
      </c>
      <c r="T55" t="s">
        <v>38</v>
      </c>
      <c r="U55">
        <v>10001013</v>
      </c>
      <c r="Y55" t="s">
        <v>48</v>
      </c>
      <c r="Z55" t="s">
        <v>49</v>
      </c>
    </row>
    <row r="56" spans="1:26" x14ac:dyDescent="0.45">
      <c r="A56" t="s">
        <v>26</v>
      </c>
      <c r="B56">
        <v>151440807</v>
      </c>
      <c r="C56">
        <v>10000064</v>
      </c>
      <c r="D56" t="s">
        <v>27</v>
      </c>
      <c r="E56" t="s">
        <v>28</v>
      </c>
      <c r="F56">
        <v>348485</v>
      </c>
      <c r="G56">
        <v>5521571022</v>
      </c>
      <c r="H56">
        <v>24030778</v>
      </c>
      <c r="I56" t="s">
        <v>29</v>
      </c>
      <c r="K56" t="s">
        <v>30</v>
      </c>
      <c r="L56" t="s">
        <v>42</v>
      </c>
      <c r="M56">
        <v>249.99999998999999</v>
      </c>
      <c r="N56">
        <v>249.99999998999999</v>
      </c>
      <c r="O56">
        <v>0</v>
      </c>
      <c r="P56">
        <v>0</v>
      </c>
      <c r="Q56">
        <v>0</v>
      </c>
      <c r="R56">
        <v>249.99999998999999</v>
      </c>
      <c r="S56" t="s">
        <v>32</v>
      </c>
      <c r="T56" t="s">
        <v>38</v>
      </c>
      <c r="U56">
        <v>10000064</v>
      </c>
      <c r="Y56" t="s">
        <v>48</v>
      </c>
      <c r="Z56" t="s">
        <v>49</v>
      </c>
    </row>
    <row r="57" spans="1:26" x14ac:dyDescent="0.45">
      <c r="A57" t="s">
        <v>26</v>
      </c>
      <c r="B57">
        <v>151428315</v>
      </c>
      <c r="C57">
        <v>10001013</v>
      </c>
      <c r="D57" t="s">
        <v>27</v>
      </c>
      <c r="E57" t="s">
        <v>28</v>
      </c>
      <c r="F57">
        <v>345495</v>
      </c>
      <c r="G57">
        <v>5575829858</v>
      </c>
      <c r="H57">
        <v>23871005</v>
      </c>
      <c r="I57" t="s">
        <v>29</v>
      </c>
      <c r="K57" t="s">
        <v>30</v>
      </c>
      <c r="L57" t="s">
        <v>40</v>
      </c>
      <c r="M57">
        <v>249.99999998999999</v>
      </c>
      <c r="N57">
        <v>249.99999998999999</v>
      </c>
      <c r="O57">
        <v>0</v>
      </c>
      <c r="P57">
        <v>0</v>
      </c>
      <c r="Q57">
        <v>0</v>
      </c>
      <c r="R57">
        <v>249.99999998999999</v>
      </c>
      <c r="S57" t="s">
        <v>37</v>
      </c>
      <c r="T57" t="s">
        <v>38</v>
      </c>
      <c r="U57">
        <v>10001013</v>
      </c>
      <c r="Y57" t="s">
        <v>48</v>
      </c>
      <c r="Z57" t="s">
        <v>49</v>
      </c>
    </row>
    <row r="58" spans="1:26" x14ac:dyDescent="0.45">
      <c r="A58" t="s">
        <v>26</v>
      </c>
      <c r="B58">
        <v>151428281</v>
      </c>
      <c r="C58">
        <v>10001013</v>
      </c>
      <c r="D58" t="s">
        <v>27</v>
      </c>
      <c r="E58" t="s">
        <v>28</v>
      </c>
      <c r="F58">
        <v>345495</v>
      </c>
      <c r="G58">
        <v>5558598699</v>
      </c>
      <c r="H58">
        <v>23900873</v>
      </c>
      <c r="I58" t="s">
        <v>29</v>
      </c>
      <c r="K58" t="s">
        <v>30</v>
      </c>
      <c r="L58" t="s">
        <v>39</v>
      </c>
      <c r="M58">
        <v>249.99999998999999</v>
      </c>
      <c r="N58">
        <v>249.99999998999999</v>
      </c>
      <c r="O58">
        <v>0</v>
      </c>
      <c r="P58">
        <v>0</v>
      </c>
      <c r="Q58">
        <v>0</v>
      </c>
      <c r="R58">
        <v>249.99999998999999</v>
      </c>
      <c r="S58" t="s">
        <v>37</v>
      </c>
      <c r="T58" t="s">
        <v>38</v>
      </c>
      <c r="U58">
        <v>10001013</v>
      </c>
      <c r="Y58" t="s">
        <v>48</v>
      </c>
      <c r="Z58" t="s">
        <v>49</v>
      </c>
    </row>
    <row r="59" spans="1:26" x14ac:dyDescent="0.45">
      <c r="A59" t="s">
        <v>26</v>
      </c>
      <c r="B59">
        <v>151398945</v>
      </c>
      <c r="C59">
        <v>10000064</v>
      </c>
      <c r="D59" t="s">
        <v>27</v>
      </c>
      <c r="E59" t="s">
        <v>28</v>
      </c>
      <c r="F59">
        <v>351040</v>
      </c>
      <c r="G59">
        <v>5554913131</v>
      </c>
      <c r="H59">
        <v>23003044</v>
      </c>
      <c r="I59" t="s">
        <v>29</v>
      </c>
      <c r="K59" t="s">
        <v>30</v>
      </c>
      <c r="L59" t="s">
        <v>40</v>
      </c>
      <c r="M59">
        <v>49.999999998</v>
      </c>
      <c r="N59">
        <v>0</v>
      </c>
      <c r="O59">
        <v>49.999999998</v>
      </c>
      <c r="P59">
        <v>0</v>
      </c>
      <c r="Q59">
        <v>0</v>
      </c>
      <c r="R59">
        <v>49.999999998</v>
      </c>
      <c r="S59" t="s">
        <v>53</v>
      </c>
      <c r="T59" t="s">
        <v>33</v>
      </c>
      <c r="U59">
        <v>10000064</v>
      </c>
      <c r="Y59" t="s">
        <v>48</v>
      </c>
      <c r="Z59" t="s">
        <v>49</v>
      </c>
    </row>
    <row r="60" spans="1:26" x14ac:dyDescent="0.45">
      <c r="A60" t="s">
        <v>26</v>
      </c>
      <c r="B60">
        <v>151396975</v>
      </c>
      <c r="C60">
        <v>10001013</v>
      </c>
      <c r="D60" t="s">
        <v>27</v>
      </c>
      <c r="E60" t="s">
        <v>28</v>
      </c>
      <c r="F60">
        <v>348467</v>
      </c>
      <c r="G60">
        <v>5559491958</v>
      </c>
      <c r="H60">
        <v>22937631</v>
      </c>
      <c r="I60" t="s">
        <v>29</v>
      </c>
      <c r="K60" t="s">
        <v>30</v>
      </c>
      <c r="L60" t="s">
        <v>39</v>
      </c>
      <c r="M60">
        <v>49.999999998</v>
      </c>
      <c r="N60">
        <v>0</v>
      </c>
      <c r="O60">
        <v>49.999999998</v>
      </c>
      <c r="P60">
        <v>0</v>
      </c>
      <c r="Q60">
        <v>0</v>
      </c>
      <c r="R60">
        <v>49.999999998</v>
      </c>
      <c r="S60" t="s">
        <v>37</v>
      </c>
      <c r="T60" t="s">
        <v>33</v>
      </c>
      <c r="U60">
        <v>10001013</v>
      </c>
      <c r="Y60" t="s">
        <v>48</v>
      </c>
      <c r="Z60" t="s">
        <v>49</v>
      </c>
    </row>
    <row r="61" spans="1:26" x14ac:dyDescent="0.45">
      <c r="A61" t="s">
        <v>26</v>
      </c>
      <c r="B61">
        <v>151396709</v>
      </c>
      <c r="C61">
        <v>10000064</v>
      </c>
      <c r="D61" t="s">
        <v>27</v>
      </c>
      <c r="E61" t="s">
        <v>28</v>
      </c>
      <c r="F61">
        <v>351037</v>
      </c>
      <c r="G61">
        <v>5556760306</v>
      </c>
      <c r="H61">
        <v>23002907</v>
      </c>
      <c r="I61" t="s">
        <v>29</v>
      </c>
      <c r="K61" t="s">
        <v>30</v>
      </c>
      <c r="L61" t="s">
        <v>40</v>
      </c>
      <c r="M61">
        <v>49.999999998</v>
      </c>
      <c r="N61">
        <v>0</v>
      </c>
      <c r="O61">
        <v>49.999999998</v>
      </c>
      <c r="P61">
        <v>0</v>
      </c>
      <c r="Q61">
        <v>0</v>
      </c>
      <c r="R61">
        <v>49.999999998</v>
      </c>
      <c r="S61" t="s">
        <v>37</v>
      </c>
      <c r="T61" t="s">
        <v>33</v>
      </c>
      <c r="U61">
        <v>10000064</v>
      </c>
      <c r="Y61" t="s">
        <v>48</v>
      </c>
      <c r="Z61" t="s">
        <v>49</v>
      </c>
    </row>
    <row r="62" spans="1:26" x14ac:dyDescent="0.45">
      <c r="A62" t="s">
        <v>26</v>
      </c>
      <c r="B62">
        <v>151392070</v>
      </c>
      <c r="C62">
        <v>10001013</v>
      </c>
      <c r="D62" t="s">
        <v>27</v>
      </c>
      <c r="E62" t="s">
        <v>28</v>
      </c>
      <c r="F62">
        <v>345495</v>
      </c>
      <c r="G62">
        <v>5510386548</v>
      </c>
      <c r="H62">
        <v>22865243</v>
      </c>
      <c r="I62" t="s">
        <v>29</v>
      </c>
      <c r="K62" t="s">
        <v>30</v>
      </c>
      <c r="L62" t="s">
        <v>42</v>
      </c>
      <c r="M62">
        <v>49.999999998</v>
      </c>
      <c r="N62">
        <v>0</v>
      </c>
      <c r="O62">
        <v>49.999999998</v>
      </c>
      <c r="P62">
        <v>0</v>
      </c>
      <c r="Q62">
        <v>0</v>
      </c>
      <c r="R62">
        <v>49.999999998</v>
      </c>
      <c r="S62" t="s">
        <v>37</v>
      </c>
      <c r="T62" t="s">
        <v>33</v>
      </c>
      <c r="U62">
        <v>10001013</v>
      </c>
      <c r="Y62" t="s">
        <v>48</v>
      </c>
      <c r="Z62" t="s">
        <v>49</v>
      </c>
    </row>
    <row r="63" spans="1:26" x14ac:dyDescent="0.45">
      <c r="A63" t="s">
        <v>26</v>
      </c>
      <c r="B63">
        <v>151391024</v>
      </c>
      <c r="C63">
        <v>10000064</v>
      </c>
      <c r="D63" t="s">
        <v>27</v>
      </c>
      <c r="E63" t="s">
        <v>28</v>
      </c>
      <c r="F63">
        <v>350703</v>
      </c>
      <c r="G63">
        <v>5591304408</v>
      </c>
      <c r="H63">
        <v>22876250</v>
      </c>
      <c r="I63" t="s">
        <v>29</v>
      </c>
      <c r="K63" t="s">
        <v>30</v>
      </c>
      <c r="L63" t="s">
        <v>31</v>
      </c>
      <c r="M63">
        <v>49.999999998</v>
      </c>
      <c r="N63">
        <v>0</v>
      </c>
      <c r="O63">
        <v>49.999999998</v>
      </c>
      <c r="P63">
        <v>0</v>
      </c>
      <c r="Q63">
        <v>0</v>
      </c>
      <c r="R63">
        <v>49.999999998</v>
      </c>
      <c r="S63" t="s">
        <v>32</v>
      </c>
      <c r="T63" t="s">
        <v>33</v>
      </c>
      <c r="U63">
        <v>10000064</v>
      </c>
      <c r="Y63" t="s">
        <v>48</v>
      </c>
      <c r="Z63" t="s">
        <v>49</v>
      </c>
    </row>
    <row r="64" spans="1:26" x14ac:dyDescent="0.45">
      <c r="A64" t="s">
        <v>26</v>
      </c>
      <c r="B64">
        <v>151390869</v>
      </c>
      <c r="C64">
        <v>10001013</v>
      </c>
      <c r="D64" t="s">
        <v>27</v>
      </c>
      <c r="E64" t="s">
        <v>28</v>
      </c>
      <c r="F64">
        <v>350677</v>
      </c>
      <c r="G64">
        <v>5524830741</v>
      </c>
      <c r="H64">
        <v>22825675</v>
      </c>
      <c r="I64" t="s">
        <v>29</v>
      </c>
      <c r="K64" t="s">
        <v>30</v>
      </c>
      <c r="L64" t="s">
        <v>55</v>
      </c>
      <c r="M64">
        <v>49.999999998</v>
      </c>
      <c r="N64">
        <v>0</v>
      </c>
      <c r="O64">
        <v>49.999999998</v>
      </c>
      <c r="P64">
        <v>0</v>
      </c>
      <c r="Q64">
        <v>0</v>
      </c>
      <c r="R64">
        <v>49.999999998</v>
      </c>
      <c r="S64" t="s">
        <v>51</v>
      </c>
      <c r="T64" t="s">
        <v>33</v>
      </c>
      <c r="U64">
        <v>10001013</v>
      </c>
      <c r="Y64" t="s">
        <v>48</v>
      </c>
      <c r="Z64" t="s">
        <v>49</v>
      </c>
    </row>
    <row r="65" spans="1:26" x14ac:dyDescent="0.45">
      <c r="A65" t="s">
        <v>26</v>
      </c>
      <c r="B65">
        <v>151390842</v>
      </c>
      <c r="C65">
        <v>10001013</v>
      </c>
      <c r="D65" t="s">
        <v>27</v>
      </c>
      <c r="E65" t="s">
        <v>28</v>
      </c>
      <c r="F65">
        <v>350677</v>
      </c>
      <c r="G65">
        <v>5596585265</v>
      </c>
      <c r="H65">
        <v>22826569</v>
      </c>
      <c r="I65" t="s">
        <v>29</v>
      </c>
      <c r="K65" t="s">
        <v>30</v>
      </c>
      <c r="L65" t="s">
        <v>40</v>
      </c>
      <c r="M65">
        <v>49.999999998</v>
      </c>
      <c r="N65">
        <v>0</v>
      </c>
      <c r="O65">
        <v>49.999999998</v>
      </c>
      <c r="P65">
        <v>0</v>
      </c>
      <c r="Q65">
        <v>0</v>
      </c>
      <c r="R65">
        <v>49.999999998</v>
      </c>
      <c r="S65" t="s">
        <v>44</v>
      </c>
      <c r="T65" t="s">
        <v>33</v>
      </c>
      <c r="U65">
        <v>10001013</v>
      </c>
      <c r="Y65" t="s">
        <v>48</v>
      </c>
      <c r="Z65" t="s">
        <v>49</v>
      </c>
    </row>
    <row r="66" spans="1:26" x14ac:dyDescent="0.45">
      <c r="A66" t="s">
        <v>26</v>
      </c>
      <c r="B66">
        <v>151390549</v>
      </c>
      <c r="C66">
        <v>10001013</v>
      </c>
      <c r="D66" t="s">
        <v>27</v>
      </c>
      <c r="E66" t="s">
        <v>28</v>
      </c>
      <c r="F66">
        <v>345495</v>
      </c>
      <c r="G66">
        <v>5527931094</v>
      </c>
      <c r="H66">
        <v>22946246</v>
      </c>
      <c r="I66" t="s">
        <v>29</v>
      </c>
      <c r="K66" t="s">
        <v>30</v>
      </c>
      <c r="L66" t="s">
        <v>40</v>
      </c>
      <c r="M66">
        <v>49.999999998</v>
      </c>
      <c r="N66">
        <v>0</v>
      </c>
      <c r="O66">
        <v>49.999999998</v>
      </c>
      <c r="P66">
        <v>0</v>
      </c>
      <c r="Q66">
        <v>0</v>
      </c>
      <c r="R66">
        <v>49.999999998</v>
      </c>
      <c r="S66" t="s">
        <v>37</v>
      </c>
      <c r="T66" t="s">
        <v>33</v>
      </c>
      <c r="U66">
        <v>10001013</v>
      </c>
      <c r="Y66" t="s">
        <v>48</v>
      </c>
      <c r="Z66" t="s">
        <v>49</v>
      </c>
    </row>
    <row r="67" spans="1:26" x14ac:dyDescent="0.45">
      <c r="A67" t="s">
        <v>26</v>
      </c>
      <c r="B67">
        <v>151388741</v>
      </c>
      <c r="C67">
        <v>10001013</v>
      </c>
      <c r="D67" t="s">
        <v>27</v>
      </c>
      <c r="E67" t="s">
        <v>28</v>
      </c>
      <c r="F67">
        <v>350677</v>
      </c>
      <c r="G67">
        <v>5523455212</v>
      </c>
      <c r="H67">
        <v>22806551</v>
      </c>
      <c r="I67" t="s">
        <v>29</v>
      </c>
      <c r="K67" t="s">
        <v>30</v>
      </c>
      <c r="L67" t="s">
        <v>31</v>
      </c>
      <c r="M67">
        <v>49.999999998</v>
      </c>
      <c r="N67">
        <v>0</v>
      </c>
      <c r="O67">
        <v>49.999999998</v>
      </c>
      <c r="P67">
        <v>0</v>
      </c>
      <c r="Q67">
        <v>0</v>
      </c>
      <c r="R67">
        <v>49.999999998</v>
      </c>
      <c r="S67" t="s">
        <v>32</v>
      </c>
      <c r="T67" t="s">
        <v>33</v>
      </c>
      <c r="U67">
        <v>10001013</v>
      </c>
      <c r="Y67" t="s">
        <v>48</v>
      </c>
      <c r="Z67" t="s">
        <v>49</v>
      </c>
    </row>
    <row r="68" spans="1:26" x14ac:dyDescent="0.45">
      <c r="A68" t="s">
        <v>26</v>
      </c>
      <c r="B68">
        <v>151401720</v>
      </c>
      <c r="C68">
        <v>10000064</v>
      </c>
      <c r="D68" t="s">
        <v>27</v>
      </c>
      <c r="E68" t="s">
        <v>28</v>
      </c>
      <c r="F68">
        <v>351040</v>
      </c>
      <c r="G68">
        <v>5526157909</v>
      </c>
      <c r="H68">
        <v>22996125</v>
      </c>
      <c r="I68" t="s">
        <v>29</v>
      </c>
      <c r="K68" t="s">
        <v>30</v>
      </c>
      <c r="L68" t="s">
        <v>42</v>
      </c>
      <c r="M68">
        <v>75.000000009999994</v>
      </c>
      <c r="N68">
        <v>0</v>
      </c>
      <c r="O68">
        <v>75.000000009999994</v>
      </c>
      <c r="P68">
        <v>0</v>
      </c>
      <c r="Q68">
        <v>0</v>
      </c>
      <c r="R68">
        <v>75.000000009999994</v>
      </c>
      <c r="S68" t="s">
        <v>32</v>
      </c>
      <c r="T68" t="s">
        <v>58</v>
      </c>
      <c r="U68">
        <v>10000064</v>
      </c>
      <c r="Y68" t="s">
        <v>59</v>
      </c>
      <c r="Z68" t="s">
        <v>60</v>
      </c>
    </row>
    <row r="69" spans="1:26" x14ac:dyDescent="0.45">
      <c r="A69" t="s">
        <v>26</v>
      </c>
      <c r="B69">
        <v>151326581</v>
      </c>
      <c r="C69">
        <v>10000064</v>
      </c>
      <c r="D69" t="s">
        <v>27</v>
      </c>
      <c r="E69" t="s">
        <v>28</v>
      </c>
      <c r="F69">
        <v>346196</v>
      </c>
      <c r="G69">
        <v>5526073993</v>
      </c>
      <c r="H69">
        <v>22106183</v>
      </c>
      <c r="I69" t="s">
        <v>29</v>
      </c>
      <c r="K69" t="s">
        <v>30</v>
      </c>
      <c r="L69" t="s">
        <v>39</v>
      </c>
      <c r="M69">
        <v>75.000000009999994</v>
      </c>
      <c r="N69">
        <v>0</v>
      </c>
      <c r="O69">
        <v>75.000000009999994</v>
      </c>
      <c r="P69">
        <v>0</v>
      </c>
      <c r="Q69">
        <v>0</v>
      </c>
      <c r="R69">
        <v>75.000000009999994</v>
      </c>
      <c r="S69" t="s">
        <v>37</v>
      </c>
      <c r="T69" t="s">
        <v>58</v>
      </c>
      <c r="U69">
        <v>10000064</v>
      </c>
      <c r="Y69" t="s">
        <v>59</v>
      </c>
      <c r="Z69" t="s">
        <v>60</v>
      </c>
    </row>
    <row r="70" spans="1:26" x14ac:dyDescent="0.45">
      <c r="A70" t="s">
        <v>26</v>
      </c>
      <c r="B70">
        <v>151352128</v>
      </c>
      <c r="C70">
        <v>10000064</v>
      </c>
      <c r="D70" t="s">
        <v>27</v>
      </c>
      <c r="E70" t="s">
        <v>28</v>
      </c>
      <c r="F70">
        <v>348485</v>
      </c>
      <c r="G70">
        <v>5592374847</v>
      </c>
      <c r="H70">
        <v>22380923</v>
      </c>
      <c r="I70" t="s">
        <v>29</v>
      </c>
      <c r="K70" t="s">
        <v>30</v>
      </c>
      <c r="L70" t="s">
        <v>40</v>
      </c>
      <c r="M70">
        <v>75.000000009999994</v>
      </c>
      <c r="N70">
        <v>0</v>
      </c>
      <c r="O70">
        <v>75.000000009999994</v>
      </c>
      <c r="P70">
        <v>0</v>
      </c>
      <c r="Q70">
        <v>0</v>
      </c>
      <c r="R70">
        <v>75.000000009999994</v>
      </c>
      <c r="S70" t="s">
        <v>37</v>
      </c>
      <c r="T70" t="s">
        <v>58</v>
      </c>
      <c r="U70">
        <v>10000064</v>
      </c>
      <c r="Y70" t="s">
        <v>59</v>
      </c>
      <c r="Z70" t="s">
        <v>60</v>
      </c>
    </row>
    <row r="71" spans="1:26" x14ac:dyDescent="0.45">
      <c r="A71" t="s">
        <v>26</v>
      </c>
      <c r="B71">
        <v>151358405</v>
      </c>
      <c r="C71">
        <v>10001013</v>
      </c>
      <c r="D71" t="s">
        <v>27</v>
      </c>
      <c r="E71" t="s">
        <v>28</v>
      </c>
      <c r="F71">
        <v>345495</v>
      </c>
      <c r="G71">
        <v>5558621152</v>
      </c>
      <c r="H71">
        <v>22437453</v>
      </c>
      <c r="I71" t="s">
        <v>29</v>
      </c>
      <c r="K71" t="s">
        <v>30</v>
      </c>
      <c r="L71" t="s">
        <v>39</v>
      </c>
      <c r="M71">
        <v>249.99999998999999</v>
      </c>
      <c r="N71">
        <v>249.99999998999999</v>
      </c>
      <c r="O71">
        <v>0</v>
      </c>
      <c r="P71">
        <v>0</v>
      </c>
      <c r="Q71">
        <v>0</v>
      </c>
      <c r="R71">
        <v>249.99999998999999</v>
      </c>
      <c r="S71" t="s">
        <v>37</v>
      </c>
      <c r="T71" t="s">
        <v>38</v>
      </c>
      <c r="U71">
        <v>10001013</v>
      </c>
      <c r="Y71" t="s">
        <v>59</v>
      </c>
      <c r="Z71" t="s">
        <v>60</v>
      </c>
    </row>
    <row r="72" spans="1:26" x14ac:dyDescent="0.45">
      <c r="A72" t="s">
        <v>26</v>
      </c>
      <c r="B72">
        <v>151373250</v>
      </c>
      <c r="C72">
        <v>10000064</v>
      </c>
      <c r="D72" t="s">
        <v>27</v>
      </c>
      <c r="E72" t="s">
        <v>28</v>
      </c>
      <c r="F72">
        <v>346126</v>
      </c>
      <c r="G72">
        <v>5517161744</v>
      </c>
      <c r="H72">
        <v>22598540</v>
      </c>
      <c r="I72" t="s">
        <v>29</v>
      </c>
      <c r="K72" t="s">
        <v>30</v>
      </c>
      <c r="L72" t="s">
        <v>55</v>
      </c>
      <c r="M72">
        <v>75.000000009999994</v>
      </c>
      <c r="N72">
        <v>0</v>
      </c>
      <c r="O72">
        <v>75.000000009999994</v>
      </c>
      <c r="P72">
        <v>0</v>
      </c>
      <c r="Q72">
        <v>0</v>
      </c>
      <c r="R72">
        <v>75.000000009999994</v>
      </c>
      <c r="S72" t="s">
        <v>37</v>
      </c>
      <c r="T72" t="s">
        <v>58</v>
      </c>
      <c r="U72">
        <v>10000064</v>
      </c>
      <c r="Y72" t="s">
        <v>59</v>
      </c>
      <c r="Z72" t="s">
        <v>60</v>
      </c>
    </row>
    <row r="73" spans="1:26" x14ac:dyDescent="0.45">
      <c r="A73" t="s">
        <v>26</v>
      </c>
      <c r="B73">
        <v>151386817</v>
      </c>
      <c r="C73">
        <v>10000064</v>
      </c>
      <c r="D73" t="s">
        <v>27</v>
      </c>
      <c r="E73" t="s">
        <v>28</v>
      </c>
      <c r="F73">
        <v>346126</v>
      </c>
      <c r="G73">
        <v>5515397216</v>
      </c>
      <c r="H73">
        <v>22923269</v>
      </c>
      <c r="I73" t="s">
        <v>29</v>
      </c>
      <c r="K73" t="s">
        <v>30</v>
      </c>
      <c r="L73" t="s">
        <v>40</v>
      </c>
      <c r="M73">
        <v>75.000000009999994</v>
      </c>
      <c r="N73">
        <v>0</v>
      </c>
      <c r="O73">
        <v>75.000000009999994</v>
      </c>
      <c r="P73">
        <v>0</v>
      </c>
      <c r="Q73">
        <v>0</v>
      </c>
      <c r="R73">
        <v>75.000000009999994</v>
      </c>
      <c r="S73" t="s">
        <v>37</v>
      </c>
      <c r="T73" t="s">
        <v>58</v>
      </c>
      <c r="U73">
        <v>10000064</v>
      </c>
      <c r="Y73" t="s">
        <v>59</v>
      </c>
      <c r="Z73" t="s">
        <v>60</v>
      </c>
    </row>
    <row r="74" spans="1:26" x14ac:dyDescent="0.45">
      <c r="A74" t="s">
        <v>26</v>
      </c>
      <c r="B74">
        <v>151387947</v>
      </c>
      <c r="C74">
        <v>10001013</v>
      </c>
      <c r="D74" t="s">
        <v>27</v>
      </c>
      <c r="E74" t="s">
        <v>28</v>
      </c>
      <c r="F74">
        <v>351030</v>
      </c>
      <c r="G74">
        <v>5590300287</v>
      </c>
      <c r="H74">
        <v>22794476</v>
      </c>
      <c r="I74" t="s">
        <v>29</v>
      </c>
      <c r="K74" t="s">
        <v>30</v>
      </c>
      <c r="L74" t="s">
        <v>40</v>
      </c>
      <c r="M74">
        <v>75.000000009999994</v>
      </c>
      <c r="N74">
        <v>0</v>
      </c>
      <c r="O74">
        <v>75.000000009999994</v>
      </c>
      <c r="P74">
        <v>0</v>
      </c>
      <c r="Q74">
        <v>0</v>
      </c>
      <c r="R74">
        <v>75.000000009999994</v>
      </c>
      <c r="S74" t="s">
        <v>37</v>
      </c>
      <c r="T74" t="s">
        <v>58</v>
      </c>
      <c r="U74">
        <v>10001013</v>
      </c>
      <c r="Y74" t="s">
        <v>59</v>
      </c>
      <c r="Z74" t="s">
        <v>60</v>
      </c>
    </row>
    <row r="75" spans="1:26" x14ac:dyDescent="0.45">
      <c r="A75" t="s">
        <v>26</v>
      </c>
      <c r="B75">
        <v>151393793</v>
      </c>
      <c r="C75">
        <v>10000064</v>
      </c>
      <c r="D75" t="s">
        <v>27</v>
      </c>
      <c r="E75" t="s">
        <v>28</v>
      </c>
      <c r="F75">
        <v>350703</v>
      </c>
      <c r="G75">
        <v>5558628679</v>
      </c>
      <c r="H75">
        <v>22885260</v>
      </c>
      <c r="I75" t="s">
        <v>29</v>
      </c>
      <c r="K75" t="s">
        <v>30</v>
      </c>
      <c r="L75" t="s">
        <v>61</v>
      </c>
      <c r="M75">
        <v>75.000000009999994</v>
      </c>
      <c r="N75">
        <v>0</v>
      </c>
      <c r="O75">
        <v>75.000000009999994</v>
      </c>
      <c r="P75">
        <v>0</v>
      </c>
      <c r="Q75">
        <v>0</v>
      </c>
      <c r="R75">
        <v>75.000000009999994</v>
      </c>
      <c r="S75" t="s">
        <v>37</v>
      </c>
      <c r="T75" t="s">
        <v>58</v>
      </c>
      <c r="U75">
        <v>10000064</v>
      </c>
      <c r="Y75" t="s">
        <v>59</v>
      </c>
      <c r="Z75" t="s">
        <v>60</v>
      </c>
    </row>
    <row r="76" spans="1:26" x14ac:dyDescent="0.45">
      <c r="A76" t="s">
        <v>26</v>
      </c>
      <c r="B76">
        <v>151395109</v>
      </c>
      <c r="C76">
        <v>10001013</v>
      </c>
      <c r="D76" t="s">
        <v>27</v>
      </c>
      <c r="E76" t="s">
        <v>28</v>
      </c>
      <c r="F76">
        <v>351030</v>
      </c>
      <c r="G76">
        <v>5521214451</v>
      </c>
      <c r="H76">
        <v>22915385</v>
      </c>
      <c r="I76" t="s">
        <v>29</v>
      </c>
      <c r="K76" t="s">
        <v>30</v>
      </c>
      <c r="L76" t="s">
        <v>61</v>
      </c>
      <c r="M76">
        <v>75.000000009999994</v>
      </c>
      <c r="N76">
        <v>0</v>
      </c>
      <c r="O76">
        <v>75.000000009999994</v>
      </c>
      <c r="P76">
        <v>0</v>
      </c>
      <c r="Q76">
        <v>0</v>
      </c>
      <c r="R76">
        <v>75.000000009999994</v>
      </c>
      <c r="S76" t="s">
        <v>37</v>
      </c>
      <c r="T76" t="s">
        <v>58</v>
      </c>
      <c r="U76">
        <v>10001013</v>
      </c>
      <c r="Y76" t="s">
        <v>59</v>
      </c>
      <c r="Z76" t="s">
        <v>60</v>
      </c>
    </row>
    <row r="77" spans="1:26" x14ac:dyDescent="0.45">
      <c r="A77" t="s">
        <v>26</v>
      </c>
      <c r="B77">
        <v>151396668</v>
      </c>
      <c r="C77">
        <v>10001013</v>
      </c>
      <c r="D77" t="s">
        <v>27</v>
      </c>
      <c r="E77" t="s">
        <v>28</v>
      </c>
      <c r="F77">
        <v>350677</v>
      </c>
      <c r="G77">
        <v>5526073087</v>
      </c>
      <c r="H77">
        <v>22932973</v>
      </c>
      <c r="I77" t="s">
        <v>29</v>
      </c>
      <c r="K77" t="s">
        <v>30</v>
      </c>
      <c r="L77" t="s">
        <v>62</v>
      </c>
      <c r="M77">
        <v>75.000000009999994</v>
      </c>
      <c r="N77">
        <v>0</v>
      </c>
      <c r="O77">
        <v>75.000000009999994</v>
      </c>
      <c r="P77">
        <v>0</v>
      </c>
      <c r="Q77">
        <v>0</v>
      </c>
      <c r="R77">
        <v>75.000000009999994</v>
      </c>
      <c r="S77" t="s">
        <v>32</v>
      </c>
      <c r="T77" t="s">
        <v>58</v>
      </c>
      <c r="U77">
        <v>10001013</v>
      </c>
      <c r="Y77" t="s">
        <v>59</v>
      </c>
      <c r="Z77" t="s">
        <v>60</v>
      </c>
    </row>
    <row r="78" spans="1:26" x14ac:dyDescent="0.45">
      <c r="A78" t="s">
        <v>26</v>
      </c>
      <c r="B78">
        <v>151396712</v>
      </c>
      <c r="C78">
        <v>10000064</v>
      </c>
      <c r="D78" t="s">
        <v>27</v>
      </c>
      <c r="E78" t="s">
        <v>28</v>
      </c>
      <c r="F78">
        <v>350703</v>
      </c>
      <c r="G78">
        <v>5593884153</v>
      </c>
      <c r="H78">
        <v>22939415</v>
      </c>
      <c r="I78" t="s">
        <v>29</v>
      </c>
      <c r="K78" t="s">
        <v>30</v>
      </c>
      <c r="L78" t="s">
        <v>40</v>
      </c>
      <c r="M78">
        <v>75.000000009999994</v>
      </c>
      <c r="N78">
        <v>0</v>
      </c>
      <c r="O78">
        <v>75.000000009999994</v>
      </c>
      <c r="P78">
        <v>0</v>
      </c>
      <c r="Q78">
        <v>0</v>
      </c>
      <c r="R78">
        <v>75.000000009999994</v>
      </c>
      <c r="S78" t="s">
        <v>37</v>
      </c>
      <c r="T78" t="s">
        <v>58</v>
      </c>
      <c r="U78">
        <v>10000064</v>
      </c>
      <c r="Y78" t="s">
        <v>59</v>
      </c>
      <c r="Z78" t="s">
        <v>60</v>
      </c>
    </row>
    <row r="79" spans="1:26" x14ac:dyDescent="0.45">
      <c r="A79" t="s">
        <v>26</v>
      </c>
      <c r="B79">
        <v>151396773</v>
      </c>
      <c r="C79">
        <v>10000064</v>
      </c>
      <c r="D79" t="s">
        <v>27</v>
      </c>
      <c r="E79" t="s">
        <v>28</v>
      </c>
      <c r="F79">
        <v>351040</v>
      </c>
      <c r="G79">
        <v>5555483910</v>
      </c>
      <c r="H79">
        <v>22971331</v>
      </c>
      <c r="I79" t="s">
        <v>29</v>
      </c>
      <c r="K79" t="s">
        <v>30</v>
      </c>
      <c r="L79" t="s">
        <v>40</v>
      </c>
      <c r="M79">
        <v>75.000000009999994</v>
      </c>
      <c r="N79">
        <v>0</v>
      </c>
      <c r="O79">
        <v>75.000000009999994</v>
      </c>
      <c r="P79">
        <v>0</v>
      </c>
      <c r="Q79">
        <v>0</v>
      </c>
      <c r="R79">
        <v>75.000000009999994</v>
      </c>
      <c r="S79" t="s">
        <v>37</v>
      </c>
      <c r="T79" t="s">
        <v>58</v>
      </c>
      <c r="U79">
        <v>10000064</v>
      </c>
      <c r="Y79" t="s">
        <v>59</v>
      </c>
      <c r="Z79" t="s">
        <v>60</v>
      </c>
    </row>
    <row r="80" spans="1:26" x14ac:dyDescent="0.45">
      <c r="A80" t="s">
        <v>26</v>
      </c>
      <c r="B80">
        <v>151396902</v>
      </c>
      <c r="C80">
        <v>10000064</v>
      </c>
      <c r="D80" t="s">
        <v>27</v>
      </c>
      <c r="E80" t="s">
        <v>28</v>
      </c>
      <c r="F80">
        <v>350703</v>
      </c>
      <c r="G80">
        <v>5511850748</v>
      </c>
      <c r="H80">
        <v>22929125</v>
      </c>
      <c r="I80" t="s">
        <v>29</v>
      </c>
      <c r="K80" t="s">
        <v>30</v>
      </c>
      <c r="L80" t="s">
        <v>39</v>
      </c>
      <c r="M80">
        <v>75.000000009999994</v>
      </c>
      <c r="N80">
        <v>0</v>
      </c>
      <c r="O80">
        <v>75.000000009999994</v>
      </c>
      <c r="P80">
        <v>0</v>
      </c>
      <c r="Q80">
        <v>0</v>
      </c>
      <c r="R80">
        <v>75.000000009999994</v>
      </c>
      <c r="S80" t="s">
        <v>44</v>
      </c>
      <c r="T80" t="s">
        <v>58</v>
      </c>
      <c r="U80">
        <v>10000064</v>
      </c>
      <c r="Y80" t="s">
        <v>59</v>
      </c>
      <c r="Z80" t="s">
        <v>60</v>
      </c>
    </row>
    <row r="81" spans="1:26" x14ac:dyDescent="0.45">
      <c r="A81" t="s">
        <v>26</v>
      </c>
      <c r="B81">
        <v>151399011</v>
      </c>
      <c r="C81">
        <v>10001013</v>
      </c>
      <c r="D81" t="s">
        <v>27</v>
      </c>
      <c r="E81" t="s">
        <v>28</v>
      </c>
      <c r="F81">
        <v>350677</v>
      </c>
      <c r="G81">
        <v>5596367938</v>
      </c>
      <c r="H81">
        <v>22953598</v>
      </c>
      <c r="I81" t="s">
        <v>29</v>
      </c>
      <c r="K81" t="s">
        <v>30</v>
      </c>
      <c r="L81" t="s">
        <v>40</v>
      </c>
      <c r="M81">
        <v>75.000000009999994</v>
      </c>
      <c r="N81">
        <v>0</v>
      </c>
      <c r="O81">
        <v>75.000000009999994</v>
      </c>
      <c r="P81">
        <v>0</v>
      </c>
      <c r="Q81">
        <v>0</v>
      </c>
      <c r="R81">
        <v>75.000000009999994</v>
      </c>
      <c r="S81" t="s">
        <v>37</v>
      </c>
      <c r="T81" t="s">
        <v>58</v>
      </c>
      <c r="U81">
        <v>10001013</v>
      </c>
      <c r="Y81" t="s">
        <v>59</v>
      </c>
      <c r="Z81" t="s">
        <v>60</v>
      </c>
    </row>
    <row r="82" spans="1:26" x14ac:dyDescent="0.45">
      <c r="A82" t="s">
        <v>26</v>
      </c>
      <c r="B82">
        <v>151399037</v>
      </c>
      <c r="C82">
        <v>10001013</v>
      </c>
      <c r="D82" t="s">
        <v>27</v>
      </c>
      <c r="E82" t="s">
        <v>28</v>
      </c>
      <c r="F82">
        <v>351030</v>
      </c>
      <c r="G82">
        <v>5523455965</v>
      </c>
      <c r="H82">
        <v>22951252</v>
      </c>
      <c r="I82" t="s">
        <v>29</v>
      </c>
      <c r="K82" t="s">
        <v>30</v>
      </c>
      <c r="L82" t="s">
        <v>36</v>
      </c>
      <c r="M82">
        <v>75.000000009999994</v>
      </c>
      <c r="N82">
        <v>0</v>
      </c>
      <c r="O82">
        <v>75.000000009999994</v>
      </c>
      <c r="P82">
        <v>0</v>
      </c>
      <c r="Q82">
        <v>0</v>
      </c>
      <c r="R82">
        <v>75.000000009999994</v>
      </c>
      <c r="S82" t="s">
        <v>32</v>
      </c>
      <c r="T82" t="s">
        <v>58</v>
      </c>
      <c r="U82">
        <v>10001013</v>
      </c>
      <c r="Y82" t="s">
        <v>59</v>
      </c>
      <c r="Z82" t="s">
        <v>60</v>
      </c>
    </row>
    <row r="83" spans="1:26" x14ac:dyDescent="0.45">
      <c r="A83" t="s">
        <v>26</v>
      </c>
      <c r="B83">
        <v>151445949</v>
      </c>
      <c r="C83">
        <v>10000064</v>
      </c>
      <c r="D83" t="s">
        <v>27</v>
      </c>
      <c r="E83" t="s">
        <v>28</v>
      </c>
      <c r="F83">
        <v>353921</v>
      </c>
      <c r="G83">
        <v>5556673501</v>
      </c>
      <c r="H83">
        <v>24099246</v>
      </c>
      <c r="I83" t="s">
        <v>29</v>
      </c>
      <c r="K83" t="s">
        <v>30</v>
      </c>
      <c r="L83" t="s">
        <v>36</v>
      </c>
      <c r="M83">
        <v>249.99999998999999</v>
      </c>
      <c r="N83">
        <v>249.99999998999999</v>
      </c>
      <c r="O83">
        <v>0</v>
      </c>
      <c r="P83">
        <v>0</v>
      </c>
      <c r="Q83">
        <v>0</v>
      </c>
      <c r="R83">
        <v>249.99999998999999</v>
      </c>
      <c r="S83" t="s">
        <v>37</v>
      </c>
      <c r="T83" t="s">
        <v>38</v>
      </c>
      <c r="U83">
        <v>10000064</v>
      </c>
      <c r="Y83" t="s">
        <v>59</v>
      </c>
      <c r="Z83" t="s">
        <v>60</v>
      </c>
    </row>
    <row r="84" spans="1:26" x14ac:dyDescent="0.45">
      <c r="A84" t="s">
        <v>26</v>
      </c>
      <c r="B84">
        <v>151409785</v>
      </c>
      <c r="C84">
        <v>10001013</v>
      </c>
      <c r="D84" t="s">
        <v>27</v>
      </c>
      <c r="E84" t="s">
        <v>28</v>
      </c>
      <c r="F84">
        <v>351715</v>
      </c>
      <c r="G84">
        <v>5521565309</v>
      </c>
      <c r="H84">
        <v>23332352</v>
      </c>
      <c r="I84" t="s">
        <v>29</v>
      </c>
      <c r="K84" t="s">
        <v>30</v>
      </c>
      <c r="L84" t="s">
        <v>42</v>
      </c>
      <c r="M84">
        <v>75.000000009999994</v>
      </c>
      <c r="N84">
        <v>0</v>
      </c>
      <c r="O84">
        <v>75.000000009999994</v>
      </c>
      <c r="P84">
        <v>0</v>
      </c>
      <c r="Q84">
        <v>0</v>
      </c>
      <c r="R84">
        <v>75.000000009999994</v>
      </c>
      <c r="S84" t="s">
        <v>44</v>
      </c>
      <c r="T84" t="s">
        <v>58</v>
      </c>
      <c r="U84">
        <v>10001013</v>
      </c>
      <c r="Y84" t="s">
        <v>59</v>
      </c>
      <c r="Z84" t="s">
        <v>60</v>
      </c>
    </row>
    <row r="85" spans="1:26" x14ac:dyDescent="0.45">
      <c r="A85" t="s">
        <v>26</v>
      </c>
      <c r="B85">
        <v>151410686</v>
      </c>
      <c r="C85">
        <v>10000064</v>
      </c>
      <c r="D85" t="s">
        <v>27</v>
      </c>
      <c r="E85" t="s">
        <v>28</v>
      </c>
      <c r="F85">
        <v>346072</v>
      </c>
      <c r="G85">
        <v>5552456331</v>
      </c>
      <c r="H85">
        <v>23382543</v>
      </c>
      <c r="I85" t="s">
        <v>29</v>
      </c>
      <c r="K85" t="s">
        <v>30</v>
      </c>
      <c r="L85" t="s">
        <v>55</v>
      </c>
      <c r="M85">
        <v>75.000000009999994</v>
      </c>
      <c r="N85">
        <v>0</v>
      </c>
      <c r="O85">
        <v>75.000000009999994</v>
      </c>
      <c r="P85">
        <v>0</v>
      </c>
      <c r="Q85">
        <v>0</v>
      </c>
      <c r="R85">
        <v>75.000000009999994</v>
      </c>
      <c r="S85" t="s">
        <v>32</v>
      </c>
      <c r="T85" t="s">
        <v>58</v>
      </c>
      <c r="U85">
        <v>10000064</v>
      </c>
      <c r="Y85" t="s">
        <v>59</v>
      </c>
      <c r="Z85" t="s">
        <v>60</v>
      </c>
    </row>
    <row r="86" spans="1:26" x14ac:dyDescent="0.45">
      <c r="A86" t="s">
        <v>26</v>
      </c>
      <c r="B86">
        <v>151417029</v>
      </c>
      <c r="C86">
        <v>10001013</v>
      </c>
      <c r="D86" t="s">
        <v>27</v>
      </c>
      <c r="E86" t="s">
        <v>28</v>
      </c>
      <c r="F86">
        <v>345495</v>
      </c>
      <c r="G86">
        <v>5558107022</v>
      </c>
      <c r="H86">
        <v>23802224</v>
      </c>
      <c r="I86" t="s">
        <v>29</v>
      </c>
      <c r="K86" t="s">
        <v>30</v>
      </c>
      <c r="L86" t="s">
        <v>40</v>
      </c>
      <c r="M86">
        <v>75.000000009999994</v>
      </c>
      <c r="N86">
        <v>0</v>
      </c>
      <c r="O86">
        <v>75.000000009999994</v>
      </c>
      <c r="P86">
        <v>0</v>
      </c>
      <c r="Q86">
        <v>0</v>
      </c>
      <c r="R86">
        <v>75.000000009999994</v>
      </c>
      <c r="S86" t="s">
        <v>37</v>
      </c>
      <c r="T86" t="s">
        <v>58</v>
      </c>
      <c r="U86">
        <v>10001013</v>
      </c>
      <c r="Y86" t="s">
        <v>59</v>
      </c>
      <c r="Z86" t="s">
        <v>60</v>
      </c>
    </row>
    <row r="87" spans="1:26" x14ac:dyDescent="0.45">
      <c r="A87" t="s">
        <v>26</v>
      </c>
      <c r="B87">
        <v>151440346</v>
      </c>
      <c r="C87">
        <v>10000064</v>
      </c>
      <c r="D87" t="s">
        <v>27</v>
      </c>
      <c r="E87" t="s">
        <v>28</v>
      </c>
      <c r="F87">
        <v>346072</v>
      </c>
      <c r="G87">
        <v>5556452722</v>
      </c>
      <c r="H87">
        <v>24022468</v>
      </c>
      <c r="I87" t="s">
        <v>29</v>
      </c>
      <c r="K87" t="s">
        <v>30</v>
      </c>
      <c r="L87" t="s">
        <v>42</v>
      </c>
      <c r="M87">
        <v>249.99999998999999</v>
      </c>
      <c r="N87">
        <v>249.99999998999999</v>
      </c>
      <c r="O87">
        <v>0</v>
      </c>
      <c r="P87">
        <v>0</v>
      </c>
      <c r="Q87">
        <v>0</v>
      </c>
      <c r="R87">
        <v>249.99999998999999</v>
      </c>
      <c r="S87" t="s">
        <v>32</v>
      </c>
      <c r="T87" t="s">
        <v>38</v>
      </c>
      <c r="U87">
        <v>10000064</v>
      </c>
      <c r="Y87" t="s">
        <v>59</v>
      </c>
      <c r="Z87" t="s">
        <v>60</v>
      </c>
    </row>
    <row r="88" spans="1:26" x14ac:dyDescent="0.45">
      <c r="A88" t="s">
        <v>26</v>
      </c>
      <c r="B88">
        <v>151440349</v>
      </c>
      <c r="C88">
        <v>10001013</v>
      </c>
      <c r="D88" t="s">
        <v>27</v>
      </c>
      <c r="E88" t="s">
        <v>28</v>
      </c>
      <c r="F88">
        <v>348467</v>
      </c>
      <c r="G88">
        <v>5576022147</v>
      </c>
      <c r="H88">
        <v>24022634</v>
      </c>
      <c r="I88" t="s">
        <v>29</v>
      </c>
      <c r="K88" t="s">
        <v>30</v>
      </c>
      <c r="L88" t="s">
        <v>40</v>
      </c>
      <c r="M88">
        <v>249.99999998999999</v>
      </c>
      <c r="N88">
        <v>249.99999998999999</v>
      </c>
      <c r="O88">
        <v>0</v>
      </c>
      <c r="P88">
        <v>0</v>
      </c>
      <c r="Q88">
        <v>0</v>
      </c>
      <c r="R88">
        <v>249.99999998999999</v>
      </c>
      <c r="S88" t="s">
        <v>37</v>
      </c>
      <c r="T88" t="s">
        <v>38</v>
      </c>
      <c r="U88">
        <v>10001013</v>
      </c>
      <c r="Y88" t="s">
        <v>59</v>
      </c>
      <c r="Z88" t="s">
        <v>60</v>
      </c>
    </row>
    <row r="89" spans="1:26" x14ac:dyDescent="0.45">
      <c r="A89" t="s">
        <v>26</v>
      </c>
      <c r="B89">
        <v>151440354</v>
      </c>
      <c r="C89">
        <v>10000064</v>
      </c>
      <c r="D89" t="s">
        <v>27</v>
      </c>
      <c r="E89" t="s">
        <v>28</v>
      </c>
      <c r="F89">
        <v>346072</v>
      </c>
      <c r="G89">
        <v>5521567091</v>
      </c>
      <c r="H89">
        <v>24023004</v>
      </c>
      <c r="I89" t="s">
        <v>29</v>
      </c>
      <c r="K89" t="s">
        <v>30</v>
      </c>
      <c r="L89" t="s">
        <v>39</v>
      </c>
      <c r="M89">
        <v>249.99999998999999</v>
      </c>
      <c r="N89">
        <v>249.99999998999999</v>
      </c>
      <c r="O89">
        <v>0</v>
      </c>
      <c r="P89">
        <v>0</v>
      </c>
      <c r="Q89">
        <v>0</v>
      </c>
      <c r="R89">
        <v>249.99999998999999</v>
      </c>
      <c r="S89" t="s">
        <v>37</v>
      </c>
      <c r="T89" t="s">
        <v>38</v>
      </c>
      <c r="U89">
        <v>10000064</v>
      </c>
      <c r="Y89" t="s">
        <v>59</v>
      </c>
      <c r="Z89" t="s">
        <v>60</v>
      </c>
    </row>
    <row r="90" spans="1:26" x14ac:dyDescent="0.45">
      <c r="A90" t="s">
        <v>26</v>
      </c>
      <c r="B90">
        <v>151440766</v>
      </c>
      <c r="C90">
        <v>10000064</v>
      </c>
      <c r="D90" t="s">
        <v>27</v>
      </c>
      <c r="E90" t="s">
        <v>28</v>
      </c>
      <c r="F90">
        <v>346072</v>
      </c>
      <c r="G90">
        <v>5556760187</v>
      </c>
      <c r="H90">
        <v>24030661</v>
      </c>
      <c r="I90" t="s">
        <v>29</v>
      </c>
      <c r="K90" t="s">
        <v>30</v>
      </c>
      <c r="L90" t="s">
        <v>42</v>
      </c>
      <c r="M90">
        <v>249.99999998999999</v>
      </c>
      <c r="N90">
        <v>249.99999998999999</v>
      </c>
      <c r="O90">
        <v>0</v>
      </c>
      <c r="P90">
        <v>0</v>
      </c>
      <c r="Q90">
        <v>0</v>
      </c>
      <c r="R90">
        <v>249.99999998999999</v>
      </c>
      <c r="S90" t="s">
        <v>32</v>
      </c>
      <c r="T90" t="s">
        <v>38</v>
      </c>
      <c r="U90">
        <v>10000064</v>
      </c>
      <c r="Y90" t="s">
        <v>59</v>
      </c>
      <c r="Z90" t="s">
        <v>60</v>
      </c>
    </row>
    <row r="91" spans="1:26" x14ac:dyDescent="0.45">
      <c r="A91" t="s">
        <v>26</v>
      </c>
      <c r="B91">
        <v>151443758</v>
      </c>
      <c r="C91">
        <v>10000064</v>
      </c>
      <c r="D91" t="s">
        <v>27</v>
      </c>
      <c r="E91" t="s">
        <v>28</v>
      </c>
      <c r="F91">
        <v>346072</v>
      </c>
      <c r="G91">
        <v>5516757059</v>
      </c>
      <c r="H91">
        <v>24075269</v>
      </c>
      <c r="I91" t="s">
        <v>29</v>
      </c>
      <c r="K91" t="s">
        <v>30</v>
      </c>
      <c r="L91" t="s">
        <v>36</v>
      </c>
      <c r="M91">
        <v>249.99999998999999</v>
      </c>
      <c r="N91">
        <v>249.99999998999999</v>
      </c>
      <c r="O91">
        <v>0</v>
      </c>
      <c r="P91">
        <v>0</v>
      </c>
      <c r="Q91">
        <v>0</v>
      </c>
      <c r="R91">
        <v>249.99999998999999</v>
      </c>
      <c r="S91" t="s">
        <v>32</v>
      </c>
      <c r="T91" t="s">
        <v>38</v>
      </c>
      <c r="U91">
        <v>10000064</v>
      </c>
      <c r="Y91" t="s">
        <v>59</v>
      </c>
      <c r="Z91" t="s">
        <v>60</v>
      </c>
    </row>
    <row r="92" spans="1:26" x14ac:dyDescent="0.45">
      <c r="A92" t="s">
        <v>26</v>
      </c>
      <c r="B92">
        <v>151443794</v>
      </c>
      <c r="C92">
        <v>10000064</v>
      </c>
      <c r="D92" t="s">
        <v>27</v>
      </c>
      <c r="E92" t="s">
        <v>28</v>
      </c>
      <c r="F92">
        <v>348485</v>
      </c>
      <c r="G92">
        <v>5558106532</v>
      </c>
      <c r="H92">
        <v>24066388</v>
      </c>
      <c r="I92" t="s">
        <v>29</v>
      </c>
      <c r="K92" t="s">
        <v>30</v>
      </c>
      <c r="L92" t="s">
        <v>36</v>
      </c>
      <c r="M92">
        <v>249.99999998999999</v>
      </c>
      <c r="N92">
        <v>249.99999998999999</v>
      </c>
      <c r="O92">
        <v>0</v>
      </c>
      <c r="P92">
        <v>0</v>
      </c>
      <c r="Q92">
        <v>0</v>
      </c>
      <c r="R92">
        <v>249.99999998999999</v>
      </c>
      <c r="S92" t="s">
        <v>32</v>
      </c>
      <c r="T92" t="s">
        <v>38</v>
      </c>
      <c r="U92">
        <v>10000064</v>
      </c>
      <c r="Y92" t="s">
        <v>59</v>
      </c>
      <c r="Z92" t="s">
        <v>60</v>
      </c>
    </row>
    <row r="93" spans="1:26" x14ac:dyDescent="0.45">
      <c r="A93" t="s">
        <v>26</v>
      </c>
      <c r="B93">
        <v>151443822</v>
      </c>
      <c r="C93">
        <v>10001013</v>
      </c>
      <c r="D93" t="s">
        <v>27</v>
      </c>
      <c r="E93" t="s">
        <v>28</v>
      </c>
      <c r="F93">
        <v>348467</v>
      </c>
      <c r="G93">
        <v>5526504233</v>
      </c>
      <c r="H93">
        <v>24212550</v>
      </c>
      <c r="I93" t="s">
        <v>29</v>
      </c>
      <c r="K93" t="s">
        <v>30</v>
      </c>
      <c r="L93" t="s">
        <v>40</v>
      </c>
      <c r="M93">
        <v>249.99999998999999</v>
      </c>
      <c r="N93">
        <v>249.99999998999999</v>
      </c>
      <c r="O93">
        <v>0</v>
      </c>
      <c r="P93">
        <v>0</v>
      </c>
      <c r="Q93">
        <v>0</v>
      </c>
      <c r="R93">
        <v>249.99999998999999</v>
      </c>
      <c r="S93" t="s">
        <v>37</v>
      </c>
      <c r="T93" t="s">
        <v>38</v>
      </c>
      <c r="U93">
        <v>10001013</v>
      </c>
      <c r="Y93" t="s">
        <v>59</v>
      </c>
      <c r="Z93" t="s">
        <v>60</v>
      </c>
    </row>
    <row r="94" spans="1:26" x14ac:dyDescent="0.45">
      <c r="A94" t="s">
        <v>26</v>
      </c>
      <c r="B94">
        <v>151443918</v>
      </c>
      <c r="C94">
        <v>10001013</v>
      </c>
      <c r="D94" t="s">
        <v>27</v>
      </c>
      <c r="E94" t="s">
        <v>28</v>
      </c>
      <c r="F94">
        <v>348467</v>
      </c>
      <c r="G94">
        <v>5515592087</v>
      </c>
      <c r="H94">
        <v>24068820</v>
      </c>
      <c r="I94" t="s">
        <v>29</v>
      </c>
      <c r="K94" t="s">
        <v>30</v>
      </c>
      <c r="L94" t="s">
        <v>36</v>
      </c>
      <c r="M94">
        <v>249.99999998999999</v>
      </c>
      <c r="N94">
        <v>249.99999998999999</v>
      </c>
      <c r="O94">
        <v>0</v>
      </c>
      <c r="P94">
        <v>0</v>
      </c>
      <c r="Q94">
        <v>0</v>
      </c>
      <c r="R94">
        <v>249.99999998999999</v>
      </c>
      <c r="S94" t="s">
        <v>44</v>
      </c>
      <c r="T94" t="s">
        <v>38</v>
      </c>
      <c r="U94">
        <v>10001013</v>
      </c>
      <c r="Y94" t="s">
        <v>59</v>
      </c>
      <c r="Z94" t="s">
        <v>60</v>
      </c>
    </row>
    <row r="95" spans="1:26" x14ac:dyDescent="0.45">
      <c r="A95" t="s">
        <v>26</v>
      </c>
      <c r="B95">
        <v>151445871</v>
      </c>
      <c r="C95">
        <v>10001013</v>
      </c>
      <c r="D95" t="s">
        <v>27</v>
      </c>
      <c r="E95" t="s">
        <v>28</v>
      </c>
      <c r="F95">
        <v>348467</v>
      </c>
      <c r="G95">
        <v>5554259354</v>
      </c>
      <c r="H95">
        <v>24135942</v>
      </c>
      <c r="I95" t="s">
        <v>29</v>
      </c>
      <c r="K95" t="s">
        <v>30</v>
      </c>
      <c r="L95" t="s">
        <v>36</v>
      </c>
      <c r="M95">
        <v>249.99999998999999</v>
      </c>
      <c r="N95">
        <v>249.99999998999999</v>
      </c>
      <c r="O95">
        <v>0</v>
      </c>
      <c r="P95">
        <v>0</v>
      </c>
      <c r="Q95">
        <v>0</v>
      </c>
      <c r="R95">
        <v>249.99999998999999</v>
      </c>
      <c r="S95" t="s">
        <v>37</v>
      </c>
      <c r="T95" t="s">
        <v>38</v>
      </c>
      <c r="U95">
        <v>10001013</v>
      </c>
      <c r="Y95" t="s">
        <v>59</v>
      </c>
      <c r="Z95" t="s">
        <v>60</v>
      </c>
    </row>
    <row r="96" spans="1:26" x14ac:dyDescent="0.45">
      <c r="A96" t="s">
        <v>26</v>
      </c>
      <c r="B96">
        <v>151445934</v>
      </c>
      <c r="C96">
        <v>10000064</v>
      </c>
      <c r="D96" t="s">
        <v>27</v>
      </c>
      <c r="E96" t="s">
        <v>28</v>
      </c>
      <c r="F96">
        <v>346072</v>
      </c>
      <c r="G96">
        <v>5575731937</v>
      </c>
      <c r="H96">
        <v>24096896</v>
      </c>
      <c r="I96" t="s">
        <v>29</v>
      </c>
      <c r="K96" t="s">
        <v>30</v>
      </c>
      <c r="L96" t="s">
        <v>40</v>
      </c>
      <c r="M96">
        <v>249.99999998999999</v>
      </c>
      <c r="N96">
        <v>249.99999998999999</v>
      </c>
      <c r="O96">
        <v>0</v>
      </c>
      <c r="P96">
        <v>0</v>
      </c>
      <c r="Q96">
        <v>0</v>
      </c>
      <c r="R96">
        <v>249.99999998999999</v>
      </c>
      <c r="S96" t="s">
        <v>37</v>
      </c>
      <c r="T96" t="s">
        <v>38</v>
      </c>
      <c r="U96">
        <v>10000064</v>
      </c>
      <c r="Y96" t="s">
        <v>59</v>
      </c>
      <c r="Z96" t="s">
        <v>60</v>
      </c>
    </row>
    <row r="97" spans="1:26" x14ac:dyDescent="0.45">
      <c r="A97" t="s">
        <v>26</v>
      </c>
      <c r="B97">
        <v>151451990</v>
      </c>
      <c r="C97">
        <v>10001013</v>
      </c>
      <c r="D97" t="s">
        <v>27</v>
      </c>
      <c r="E97" t="s">
        <v>28</v>
      </c>
      <c r="F97">
        <v>348467</v>
      </c>
      <c r="G97">
        <v>5594643293</v>
      </c>
      <c r="H97">
        <v>24193581</v>
      </c>
      <c r="I97" t="s">
        <v>63</v>
      </c>
      <c r="K97" t="s">
        <v>30</v>
      </c>
      <c r="L97" t="s">
        <v>40</v>
      </c>
      <c r="M97">
        <v>249.99999998999999</v>
      </c>
      <c r="N97">
        <v>249.99999998999999</v>
      </c>
      <c r="O97">
        <v>0</v>
      </c>
      <c r="P97">
        <v>0</v>
      </c>
      <c r="Q97">
        <v>0</v>
      </c>
      <c r="R97">
        <v>249.99999998999999</v>
      </c>
      <c r="S97" t="s">
        <v>37</v>
      </c>
      <c r="T97" t="s">
        <v>38</v>
      </c>
      <c r="Y97" t="s">
        <v>64</v>
      </c>
      <c r="Z97" t="s">
        <v>65</v>
      </c>
    </row>
    <row r="98" spans="1:26" x14ac:dyDescent="0.45">
      <c r="A98" t="s">
        <v>26</v>
      </c>
      <c r="B98">
        <v>151351958</v>
      </c>
      <c r="C98">
        <v>10000064</v>
      </c>
      <c r="D98" t="s">
        <v>27</v>
      </c>
      <c r="E98" t="s">
        <v>28</v>
      </c>
      <c r="F98">
        <v>349815</v>
      </c>
      <c r="G98">
        <v>5589086222</v>
      </c>
      <c r="H98">
        <v>22381211</v>
      </c>
      <c r="I98" t="s">
        <v>66</v>
      </c>
      <c r="K98" t="s">
        <v>30</v>
      </c>
      <c r="L98" t="s">
        <v>62</v>
      </c>
      <c r="M98">
        <v>75.000000009999994</v>
      </c>
      <c r="N98">
        <v>0</v>
      </c>
      <c r="O98">
        <v>75.000000009999994</v>
      </c>
      <c r="P98">
        <v>0</v>
      </c>
      <c r="Q98">
        <v>0</v>
      </c>
      <c r="R98">
        <v>75.000000009999994</v>
      </c>
      <c r="S98" t="s">
        <v>37</v>
      </c>
      <c r="T98" t="s">
        <v>58</v>
      </c>
      <c r="Y98" t="s">
        <v>64</v>
      </c>
      <c r="Z98" t="s">
        <v>65</v>
      </c>
    </row>
    <row r="99" spans="1:26" x14ac:dyDescent="0.45">
      <c r="A99" t="s">
        <v>26</v>
      </c>
      <c r="B99">
        <v>151368821</v>
      </c>
      <c r="C99">
        <v>10000064</v>
      </c>
      <c r="D99" t="s">
        <v>27</v>
      </c>
      <c r="E99" t="s">
        <v>28</v>
      </c>
      <c r="F99">
        <v>346126</v>
      </c>
      <c r="G99">
        <v>5515182302</v>
      </c>
      <c r="H99">
        <v>22546164</v>
      </c>
      <c r="I99" t="s">
        <v>67</v>
      </c>
      <c r="K99" t="s">
        <v>30</v>
      </c>
      <c r="L99" t="s">
        <v>61</v>
      </c>
      <c r="M99">
        <v>49.999999998</v>
      </c>
      <c r="N99">
        <v>0</v>
      </c>
      <c r="O99">
        <v>49.999999998</v>
      </c>
      <c r="P99">
        <v>0</v>
      </c>
      <c r="Q99">
        <v>0</v>
      </c>
      <c r="R99">
        <v>49.999999998</v>
      </c>
      <c r="S99" t="s">
        <v>68</v>
      </c>
      <c r="T99" t="s">
        <v>69</v>
      </c>
      <c r="Y99" t="s">
        <v>64</v>
      </c>
      <c r="Z99" t="s">
        <v>65</v>
      </c>
    </row>
    <row r="100" spans="1:26" x14ac:dyDescent="0.45">
      <c r="A100" t="s">
        <v>26</v>
      </c>
      <c r="B100">
        <v>151375639</v>
      </c>
      <c r="C100">
        <v>10001013</v>
      </c>
      <c r="D100" t="s">
        <v>27</v>
      </c>
      <c r="E100" t="s">
        <v>28</v>
      </c>
      <c r="F100">
        <v>350677</v>
      </c>
      <c r="G100">
        <v>5524665760</v>
      </c>
      <c r="H100">
        <v>22623094</v>
      </c>
      <c r="I100" t="s">
        <v>70</v>
      </c>
      <c r="K100" t="s">
        <v>30</v>
      </c>
      <c r="L100" t="s">
        <v>31</v>
      </c>
      <c r="M100">
        <v>49.999999998</v>
      </c>
      <c r="N100">
        <v>0</v>
      </c>
      <c r="O100">
        <v>49.999999998</v>
      </c>
      <c r="P100">
        <v>0</v>
      </c>
      <c r="Q100">
        <v>0</v>
      </c>
      <c r="R100">
        <v>49.999999998</v>
      </c>
      <c r="S100" t="s">
        <v>32</v>
      </c>
      <c r="T100" t="s">
        <v>69</v>
      </c>
      <c r="Y100" t="s">
        <v>64</v>
      </c>
      <c r="Z100" t="s">
        <v>65</v>
      </c>
    </row>
    <row r="101" spans="1:26" x14ac:dyDescent="0.45">
      <c r="A101" t="s">
        <v>26</v>
      </c>
      <c r="B101">
        <v>151390991</v>
      </c>
      <c r="C101">
        <v>10000064</v>
      </c>
      <c r="D101" t="s">
        <v>27</v>
      </c>
      <c r="E101" t="s">
        <v>28</v>
      </c>
      <c r="F101">
        <v>350703</v>
      </c>
      <c r="G101">
        <v>5524603793</v>
      </c>
      <c r="H101">
        <v>22928596</v>
      </c>
      <c r="I101" t="s">
        <v>71</v>
      </c>
      <c r="K101" t="s">
        <v>30</v>
      </c>
      <c r="L101" t="s">
        <v>40</v>
      </c>
      <c r="M101">
        <v>75.000000009999994</v>
      </c>
      <c r="N101">
        <v>0</v>
      </c>
      <c r="O101">
        <v>75.000000009999994</v>
      </c>
      <c r="P101">
        <v>0</v>
      </c>
      <c r="Q101">
        <v>0</v>
      </c>
      <c r="R101">
        <v>75.000000009999994</v>
      </c>
      <c r="S101" t="s">
        <v>37</v>
      </c>
      <c r="T101" t="s">
        <v>58</v>
      </c>
      <c r="Y101" t="s">
        <v>64</v>
      </c>
      <c r="Z101" t="s">
        <v>65</v>
      </c>
    </row>
    <row r="102" spans="1:26" x14ac:dyDescent="0.45">
      <c r="A102" t="s">
        <v>26</v>
      </c>
      <c r="B102">
        <v>151399114</v>
      </c>
      <c r="C102">
        <v>10000064</v>
      </c>
      <c r="D102" t="s">
        <v>27</v>
      </c>
      <c r="E102" t="s">
        <v>28</v>
      </c>
      <c r="F102">
        <v>351037</v>
      </c>
      <c r="G102">
        <v>5511137309</v>
      </c>
      <c r="H102">
        <v>22954058</v>
      </c>
      <c r="I102" t="s">
        <v>72</v>
      </c>
      <c r="K102" t="s">
        <v>30</v>
      </c>
      <c r="L102" t="s">
        <v>42</v>
      </c>
      <c r="M102">
        <v>249.99999998999999</v>
      </c>
      <c r="N102">
        <v>249.99999998999999</v>
      </c>
      <c r="O102">
        <v>0</v>
      </c>
      <c r="P102">
        <v>0</v>
      </c>
      <c r="Q102">
        <v>0</v>
      </c>
      <c r="R102">
        <v>249.99999998999999</v>
      </c>
      <c r="S102" t="s">
        <v>32</v>
      </c>
      <c r="T102" t="s">
        <v>38</v>
      </c>
      <c r="Y102" t="s">
        <v>64</v>
      </c>
      <c r="Z102" t="s">
        <v>65</v>
      </c>
    </row>
    <row r="103" spans="1:26" x14ac:dyDescent="0.45">
      <c r="A103" t="s">
        <v>26</v>
      </c>
      <c r="B103">
        <v>151409781</v>
      </c>
      <c r="C103">
        <v>10000064</v>
      </c>
      <c r="D103" t="s">
        <v>27</v>
      </c>
      <c r="E103" t="s">
        <v>28</v>
      </c>
      <c r="F103">
        <v>348485</v>
      </c>
      <c r="G103">
        <v>5591808238</v>
      </c>
      <c r="H103">
        <v>23336253</v>
      </c>
      <c r="I103" t="s">
        <v>73</v>
      </c>
      <c r="K103" t="s">
        <v>30</v>
      </c>
      <c r="L103" t="s">
        <v>42</v>
      </c>
      <c r="M103">
        <v>75.000000009999994</v>
      </c>
      <c r="N103">
        <v>0</v>
      </c>
      <c r="O103">
        <v>75.000000009999994</v>
      </c>
      <c r="P103">
        <v>0</v>
      </c>
      <c r="Q103">
        <v>0</v>
      </c>
      <c r="R103">
        <v>75.000000009999994</v>
      </c>
      <c r="S103" t="s">
        <v>32</v>
      </c>
      <c r="T103" t="s">
        <v>58</v>
      </c>
      <c r="Y103" t="s">
        <v>64</v>
      </c>
      <c r="Z103" t="s">
        <v>65</v>
      </c>
    </row>
    <row r="104" spans="1:26" x14ac:dyDescent="0.45">
      <c r="A104" t="s">
        <v>26</v>
      </c>
      <c r="B104">
        <v>151410686</v>
      </c>
      <c r="C104">
        <v>10000064</v>
      </c>
      <c r="D104" t="s">
        <v>27</v>
      </c>
      <c r="E104" t="s">
        <v>28</v>
      </c>
      <c r="F104">
        <v>346072</v>
      </c>
      <c r="G104">
        <v>5552456331</v>
      </c>
      <c r="H104">
        <v>23382543</v>
      </c>
      <c r="I104" t="s">
        <v>73</v>
      </c>
      <c r="K104" t="s">
        <v>30</v>
      </c>
      <c r="L104" t="s">
        <v>55</v>
      </c>
      <c r="M104">
        <v>49.999999998</v>
      </c>
      <c r="N104">
        <v>0</v>
      </c>
      <c r="O104">
        <v>49.999999998</v>
      </c>
      <c r="P104">
        <v>0</v>
      </c>
      <c r="Q104">
        <v>0</v>
      </c>
      <c r="R104">
        <v>49.999999998</v>
      </c>
      <c r="S104" t="s">
        <v>32</v>
      </c>
      <c r="T104" t="s">
        <v>69</v>
      </c>
      <c r="Y104" t="s">
        <v>64</v>
      </c>
      <c r="Z104" t="s">
        <v>65</v>
      </c>
    </row>
    <row r="105" spans="1:26" x14ac:dyDescent="0.45">
      <c r="A105" t="s">
        <v>26</v>
      </c>
      <c r="B105">
        <v>151419967</v>
      </c>
      <c r="C105">
        <v>10000064</v>
      </c>
      <c r="D105" t="s">
        <v>27</v>
      </c>
      <c r="E105" t="s">
        <v>28</v>
      </c>
      <c r="F105">
        <v>348485</v>
      </c>
      <c r="G105">
        <v>5558416979</v>
      </c>
      <c r="H105">
        <v>23788939</v>
      </c>
      <c r="I105" t="s">
        <v>74</v>
      </c>
      <c r="K105" t="s">
        <v>30</v>
      </c>
      <c r="L105" t="s">
        <v>39</v>
      </c>
      <c r="M105">
        <v>75.000000009999994</v>
      </c>
      <c r="N105">
        <v>0</v>
      </c>
      <c r="O105">
        <v>75.000000009999994</v>
      </c>
      <c r="P105">
        <v>0</v>
      </c>
      <c r="Q105">
        <v>0</v>
      </c>
      <c r="R105">
        <v>75.000000009999994</v>
      </c>
      <c r="S105" t="s">
        <v>32</v>
      </c>
      <c r="T105" t="s">
        <v>58</v>
      </c>
      <c r="Y105" t="s">
        <v>64</v>
      </c>
      <c r="Z105" t="s">
        <v>65</v>
      </c>
    </row>
    <row r="106" spans="1:26" x14ac:dyDescent="0.45">
      <c r="A106" t="s">
        <v>26</v>
      </c>
      <c r="B106">
        <v>151462960</v>
      </c>
      <c r="C106">
        <v>10001013</v>
      </c>
      <c r="D106" t="s">
        <v>27</v>
      </c>
      <c r="E106" t="s">
        <v>28</v>
      </c>
      <c r="F106">
        <v>353923</v>
      </c>
      <c r="G106">
        <v>5596432717</v>
      </c>
      <c r="H106">
        <v>24343153</v>
      </c>
      <c r="I106" t="s">
        <v>75</v>
      </c>
      <c r="K106" t="s">
        <v>30</v>
      </c>
      <c r="L106" t="s">
        <v>47</v>
      </c>
      <c r="M106">
        <v>249.99999998999999</v>
      </c>
      <c r="N106">
        <v>249.99999998999999</v>
      </c>
      <c r="O106">
        <v>0</v>
      </c>
      <c r="P106">
        <v>0</v>
      </c>
      <c r="Q106">
        <v>0</v>
      </c>
      <c r="R106">
        <v>249.99999998999999</v>
      </c>
      <c r="S106" t="s">
        <v>37</v>
      </c>
      <c r="T106" t="s">
        <v>38</v>
      </c>
      <c r="Y106" t="s">
        <v>64</v>
      </c>
      <c r="Z106" t="s">
        <v>65</v>
      </c>
    </row>
    <row r="107" spans="1:26" x14ac:dyDescent="0.45">
      <c r="A107" t="s">
        <v>26</v>
      </c>
      <c r="B107">
        <v>151456274</v>
      </c>
      <c r="C107">
        <v>10000064</v>
      </c>
      <c r="D107" t="s">
        <v>27</v>
      </c>
      <c r="E107" t="s">
        <v>28</v>
      </c>
      <c r="F107">
        <v>346072</v>
      </c>
      <c r="G107">
        <v>5524665347</v>
      </c>
      <c r="H107">
        <v>24472122</v>
      </c>
      <c r="I107" t="s">
        <v>76</v>
      </c>
      <c r="K107" t="s">
        <v>30</v>
      </c>
      <c r="L107" t="s">
        <v>40</v>
      </c>
      <c r="M107">
        <v>249.99999998999999</v>
      </c>
      <c r="N107">
        <v>249.99999998999999</v>
      </c>
      <c r="O107">
        <v>0</v>
      </c>
      <c r="P107">
        <v>0</v>
      </c>
      <c r="Q107">
        <v>0</v>
      </c>
      <c r="R107">
        <v>249.99999998999999</v>
      </c>
      <c r="S107" t="s">
        <v>37</v>
      </c>
      <c r="T107" t="s">
        <v>38</v>
      </c>
      <c r="Y107" t="s">
        <v>64</v>
      </c>
      <c r="Z107" t="s">
        <v>65</v>
      </c>
    </row>
    <row r="108" spans="1:26" x14ac:dyDescent="0.45">
      <c r="A108" t="s">
        <v>26</v>
      </c>
      <c r="B108">
        <v>151456294</v>
      </c>
      <c r="C108">
        <v>10001013</v>
      </c>
      <c r="D108" t="s">
        <v>27</v>
      </c>
      <c r="E108" t="s">
        <v>28</v>
      </c>
      <c r="F108">
        <v>353923</v>
      </c>
      <c r="G108">
        <v>5581647899</v>
      </c>
      <c r="H108">
        <v>24229396</v>
      </c>
      <c r="I108" t="s">
        <v>63</v>
      </c>
      <c r="K108" t="s">
        <v>30</v>
      </c>
      <c r="L108" t="s">
        <v>45</v>
      </c>
      <c r="M108">
        <v>249.99999998999999</v>
      </c>
      <c r="N108">
        <v>249.99999998999999</v>
      </c>
      <c r="O108">
        <v>0</v>
      </c>
      <c r="P108">
        <v>0</v>
      </c>
      <c r="Q108">
        <v>0</v>
      </c>
      <c r="R108">
        <v>249.99999998999999</v>
      </c>
      <c r="S108" t="s">
        <v>37</v>
      </c>
      <c r="T108" t="s">
        <v>38</v>
      </c>
      <c r="Y108" t="s">
        <v>64</v>
      </c>
      <c r="Z108" t="s">
        <v>65</v>
      </c>
    </row>
    <row r="109" spans="1:26" x14ac:dyDescent="0.45">
      <c r="A109" t="s">
        <v>26</v>
      </c>
      <c r="B109">
        <v>151456324</v>
      </c>
      <c r="C109">
        <v>10000064</v>
      </c>
      <c r="D109" t="s">
        <v>27</v>
      </c>
      <c r="E109" t="s">
        <v>28</v>
      </c>
      <c r="F109">
        <v>346072</v>
      </c>
      <c r="G109">
        <v>5524665378</v>
      </c>
      <c r="H109">
        <v>24472126</v>
      </c>
      <c r="I109" t="s">
        <v>76</v>
      </c>
      <c r="K109" t="s">
        <v>30</v>
      </c>
      <c r="L109" t="s">
        <v>40</v>
      </c>
      <c r="M109">
        <v>249.99999998999999</v>
      </c>
      <c r="N109">
        <v>249.99999998999999</v>
      </c>
      <c r="O109">
        <v>0</v>
      </c>
      <c r="P109">
        <v>0</v>
      </c>
      <c r="Q109">
        <v>0</v>
      </c>
      <c r="R109">
        <v>249.99999998999999</v>
      </c>
      <c r="S109" t="s">
        <v>53</v>
      </c>
      <c r="T109" t="s">
        <v>38</v>
      </c>
      <c r="Y109" t="s">
        <v>64</v>
      </c>
      <c r="Z109" t="s">
        <v>65</v>
      </c>
    </row>
    <row r="110" spans="1:26" x14ac:dyDescent="0.45">
      <c r="A110" t="s">
        <v>26</v>
      </c>
      <c r="B110">
        <v>151458298</v>
      </c>
      <c r="C110">
        <v>10000064</v>
      </c>
      <c r="D110" t="s">
        <v>27</v>
      </c>
      <c r="E110" t="s">
        <v>28</v>
      </c>
      <c r="F110">
        <v>346072</v>
      </c>
      <c r="G110">
        <v>5521579787</v>
      </c>
      <c r="H110">
        <v>24254941</v>
      </c>
      <c r="I110" t="s">
        <v>77</v>
      </c>
      <c r="K110" t="s">
        <v>30</v>
      </c>
      <c r="L110" t="s">
        <v>42</v>
      </c>
      <c r="M110">
        <v>249.99999998999999</v>
      </c>
      <c r="N110">
        <v>249.99999998999999</v>
      </c>
      <c r="O110">
        <v>0</v>
      </c>
      <c r="P110">
        <v>0</v>
      </c>
      <c r="Q110">
        <v>0</v>
      </c>
      <c r="R110">
        <v>249.99999998999999</v>
      </c>
      <c r="S110" t="s">
        <v>51</v>
      </c>
      <c r="T110" t="s">
        <v>38</v>
      </c>
      <c r="Y110" t="s">
        <v>64</v>
      </c>
      <c r="Z110" t="s">
        <v>65</v>
      </c>
    </row>
    <row r="111" spans="1:26" x14ac:dyDescent="0.45">
      <c r="A111" t="s">
        <v>26</v>
      </c>
      <c r="B111">
        <v>151460687</v>
      </c>
      <c r="C111">
        <v>10000064</v>
      </c>
      <c r="D111" t="s">
        <v>27</v>
      </c>
      <c r="E111" t="s">
        <v>28</v>
      </c>
      <c r="F111">
        <v>348485</v>
      </c>
      <c r="G111">
        <v>5526505112</v>
      </c>
      <c r="H111">
        <v>24298269</v>
      </c>
      <c r="I111" t="s">
        <v>78</v>
      </c>
      <c r="K111" t="s">
        <v>30</v>
      </c>
      <c r="L111" t="s">
        <v>31</v>
      </c>
      <c r="M111">
        <v>249.99999998999999</v>
      </c>
      <c r="N111">
        <v>249.99999998999999</v>
      </c>
      <c r="O111">
        <v>0</v>
      </c>
      <c r="P111">
        <v>0</v>
      </c>
      <c r="Q111">
        <v>0</v>
      </c>
      <c r="R111">
        <v>249.99999998999999</v>
      </c>
      <c r="S111" t="s">
        <v>32</v>
      </c>
      <c r="T111" t="s">
        <v>38</v>
      </c>
      <c r="Y111" t="s">
        <v>64</v>
      </c>
      <c r="Z111" t="s">
        <v>65</v>
      </c>
    </row>
    <row r="112" spans="1:26" x14ac:dyDescent="0.45">
      <c r="A112" t="s">
        <v>26</v>
      </c>
      <c r="B112">
        <v>151460739</v>
      </c>
      <c r="C112">
        <v>10000064</v>
      </c>
      <c r="D112" t="s">
        <v>27</v>
      </c>
      <c r="E112" t="s">
        <v>28</v>
      </c>
      <c r="F112">
        <v>346072</v>
      </c>
      <c r="G112">
        <v>5527910658</v>
      </c>
      <c r="H112">
        <v>24472161</v>
      </c>
      <c r="I112" t="s">
        <v>76</v>
      </c>
      <c r="K112" t="s">
        <v>30</v>
      </c>
      <c r="L112" t="s">
        <v>47</v>
      </c>
      <c r="M112">
        <v>249.99999998999999</v>
      </c>
      <c r="N112">
        <v>249.99999998999999</v>
      </c>
      <c r="O112">
        <v>0</v>
      </c>
      <c r="P112">
        <v>0</v>
      </c>
      <c r="Q112">
        <v>0</v>
      </c>
      <c r="R112">
        <v>249.99999998999999</v>
      </c>
      <c r="S112" t="s">
        <v>53</v>
      </c>
      <c r="T112" t="s">
        <v>38</v>
      </c>
      <c r="Y112" t="s">
        <v>64</v>
      </c>
      <c r="Z112" t="s">
        <v>65</v>
      </c>
    </row>
    <row r="113" spans="1:26" x14ac:dyDescent="0.45">
      <c r="A113" t="s">
        <v>26</v>
      </c>
      <c r="B113">
        <v>151460750</v>
      </c>
      <c r="C113">
        <v>10001013</v>
      </c>
      <c r="D113" t="s">
        <v>27</v>
      </c>
      <c r="E113" t="s">
        <v>28</v>
      </c>
      <c r="F113">
        <v>348467</v>
      </c>
      <c r="G113">
        <v>5556535203</v>
      </c>
      <c r="H113">
        <v>24292780</v>
      </c>
      <c r="I113" t="s">
        <v>75</v>
      </c>
      <c r="K113" t="s">
        <v>30</v>
      </c>
      <c r="L113" t="s">
        <v>42</v>
      </c>
      <c r="M113">
        <v>249.99999998999999</v>
      </c>
      <c r="N113">
        <v>249.99999998999999</v>
      </c>
      <c r="O113">
        <v>0</v>
      </c>
      <c r="P113">
        <v>0</v>
      </c>
      <c r="Q113">
        <v>0</v>
      </c>
      <c r="R113">
        <v>249.99999998999999</v>
      </c>
      <c r="S113" t="s">
        <v>32</v>
      </c>
      <c r="T113" t="s">
        <v>38</v>
      </c>
      <c r="Y113" t="s">
        <v>64</v>
      </c>
      <c r="Z113" t="s">
        <v>65</v>
      </c>
    </row>
    <row r="114" spans="1:26" x14ac:dyDescent="0.45">
      <c r="A114" t="s">
        <v>26</v>
      </c>
      <c r="B114">
        <v>151462935</v>
      </c>
      <c r="C114">
        <v>10001013</v>
      </c>
      <c r="D114" t="s">
        <v>27</v>
      </c>
      <c r="E114" t="s">
        <v>28</v>
      </c>
      <c r="F114">
        <v>353923</v>
      </c>
      <c r="G114">
        <v>5556955318</v>
      </c>
      <c r="H114">
        <v>24337685</v>
      </c>
      <c r="I114" t="s">
        <v>77</v>
      </c>
      <c r="K114" t="s">
        <v>30</v>
      </c>
      <c r="L114" t="s">
        <v>39</v>
      </c>
      <c r="M114">
        <v>249.99999998999999</v>
      </c>
      <c r="N114">
        <v>249.99999998999999</v>
      </c>
      <c r="O114">
        <v>0</v>
      </c>
      <c r="P114">
        <v>0</v>
      </c>
      <c r="Q114">
        <v>0</v>
      </c>
      <c r="R114">
        <v>249.99999998999999</v>
      </c>
      <c r="S114" t="s">
        <v>79</v>
      </c>
      <c r="T114" t="s">
        <v>38</v>
      </c>
      <c r="Y114" t="s">
        <v>64</v>
      </c>
      <c r="Z114" t="s">
        <v>65</v>
      </c>
    </row>
    <row r="115" spans="1:26" x14ac:dyDescent="0.45">
      <c r="A115" t="s">
        <v>26</v>
      </c>
      <c r="B115">
        <v>151440807</v>
      </c>
      <c r="C115">
        <v>10000064</v>
      </c>
      <c r="D115" t="s">
        <v>27</v>
      </c>
      <c r="E115" t="s">
        <v>28</v>
      </c>
      <c r="F115">
        <v>348485</v>
      </c>
      <c r="G115">
        <v>5521571022</v>
      </c>
      <c r="H115">
        <v>24030778</v>
      </c>
      <c r="I115" t="s">
        <v>80</v>
      </c>
      <c r="K115" t="s">
        <v>30</v>
      </c>
      <c r="L115" t="s">
        <v>42</v>
      </c>
      <c r="M115">
        <v>75.000000009999994</v>
      </c>
      <c r="N115">
        <v>0</v>
      </c>
      <c r="O115">
        <v>75.000000009999994</v>
      </c>
      <c r="P115">
        <v>0</v>
      </c>
      <c r="Q115">
        <v>0</v>
      </c>
      <c r="R115">
        <v>75.000000009999994</v>
      </c>
      <c r="S115" t="s">
        <v>32</v>
      </c>
      <c r="T115" t="s">
        <v>58</v>
      </c>
      <c r="U115">
        <v>10000064</v>
      </c>
      <c r="Y115" t="s">
        <v>81</v>
      </c>
      <c r="Z115" t="s">
        <v>82</v>
      </c>
    </row>
    <row r="116" spans="1:26" x14ac:dyDescent="0.45">
      <c r="A116" t="s">
        <v>26</v>
      </c>
      <c r="B116">
        <v>5726560</v>
      </c>
      <c r="C116">
        <v>10000064</v>
      </c>
      <c r="D116" t="s">
        <v>27</v>
      </c>
      <c r="E116" t="s">
        <v>28</v>
      </c>
      <c r="F116">
        <v>346072</v>
      </c>
      <c r="G116">
        <v>6646463041</v>
      </c>
      <c r="H116">
        <v>31414235</v>
      </c>
      <c r="I116" t="s">
        <v>83</v>
      </c>
      <c r="K116" t="s">
        <v>84</v>
      </c>
      <c r="L116" t="s">
        <v>85</v>
      </c>
      <c r="M116">
        <v>249.99999998999999</v>
      </c>
      <c r="N116">
        <v>249.99999998999999</v>
      </c>
      <c r="O116">
        <v>0</v>
      </c>
      <c r="P116">
        <v>0</v>
      </c>
      <c r="Q116">
        <v>0</v>
      </c>
      <c r="R116">
        <v>249.99999998999999</v>
      </c>
      <c r="S116" t="s">
        <v>37</v>
      </c>
      <c r="T116" t="s">
        <v>38</v>
      </c>
      <c r="U116">
        <v>10001013</v>
      </c>
      <c r="Y116" t="s">
        <v>81</v>
      </c>
      <c r="Z116" t="s">
        <v>82</v>
      </c>
    </row>
    <row r="117" spans="1:26" x14ac:dyDescent="0.45">
      <c r="A117" t="s">
        <v>26</v>
      </c>
      <c r="B117">
        <v>151340019</v>
      </c>
      <c r="C117">
        <v>10001013</v>
      </c>
      <c r="D117" t="s">
        <v>27</v>
      </c>
      <c r="E117" t="s">
        <v>28</v>
      </c>
      <c r="F117">
        <v>348467</v>
      </c>
      <c r="G117">
        <v>5543177159</v>
      </c>
      <c r="H117">
        <v>22241475</v>
      </c>
      <c r="I117" t="s">
        <v>86</v>
      </c>
      <c r="K117" t="s">
        <v>30</v>
      </c>
      <c r="L117" t="s">
        <v>42</v>
      </c>
      <c r="M117">
        <v>75.000000009999994</v>
      </c>
      <c r="N117">
        <v>0</v>
      </c>
      <c r="O117">
        <v>75.000000009999994</v>
      </c>
      <c r="P117">
        <v>0</v>
      </c>
      <c r="Q117">
        <v>0</v>
      </c>
      <c r="R117">
        <v>75.000000009999994</v>
      </c>
      <c r="S117" t="s">
        <v>37</v>
      </c>
      <c r="T117" t="s">
        <v>58</v>
      </c>
      <c r="U117">
        <v>10000064</v>
      </c>
      <c r="Y117" t="s">
        <v>81</v>
      </c>
      <c r="Z117" t="s">
        <v>82</v>
      </c>
    </row>
    <row r="118" spans="1:26" x14ac:dyDescent="0.45">
      <c r="A118" t="s">
        <v>26</v>
      </c>
      <c r="B118">
        <v>151344986</v>
      </c>
      <c r="C118">
        <v>10000064</v>
      </c>
      <c r="D118" t="s">
        <v>27</v>
      </c>
      <c r="E118" t="s">
        <v>28</v>
      </c>
      <c r="F118">
        <v>346126</v>
      </c>
      <c r="G118">
        <v>5591347168</v>
      </c>
      <c r="H118">
        <v>22297238</v>
      </c>
      <c r="I118" t="s">
        <v>87</v>
      </c>
      <c r="K118" t="s">
        <v>30</v>
      </c>
      <c r="L118" t="s">
        <v>39</v>
      </c>
      <c r="M118">
        <v>75.000000009999994</v>
      </c>
      <c r="N118">
        <v>0</v>
      </c>
      <c r="O118">
        <v>75.000000009999994</v>
      </c>
      <c r="P118">
        <v>0</v>
      </c>
      <c r="Q118">
        <v>0</v>
      </c>
      <c r="R118">
        <v>75.000000009999994</v>
      </c>
      <c r="S118" t="s">
        <v>37</v>
      </c>
      <c r="T118" t="s">
        <v>58</v>
      </c>
      <c r="U118">
        <v>10001013</v>
      </c>
      <c r="Y118" t="s">
        <v>81</v>
      </c>
      <c r="Z118" t="s">
        <v>82</v>
      </c>
    </row>
    <row r="119" spans="1:26" x14ac:dyDescent="0.45">
      <c r="A119" t="s">
        <v>26</v>
      </c>
      <c r="B119">
        <v>151396936</v>
      </c>
      <c r="C119">
        <v>10000064</v>
      </c>
      <c r="D119" t="s">
        <v>27</v>
      </c>
      <c r="E119" t="s">
        <v>28</v>
      </c>
      <c r="F119">
        <v>350703</v>
      </c>
      <c r="G119">
        <v>5521559507</v>
      </c>
      <c r="H119">
        <v>22929376</v>
      </c>
      <c r="I119" t="s">
        <v>71</v>
      </c>
      <c r="K119" t="s">
        <v>30</v>
      </c>
      <c r="L119" t="s">
        <v>42</v>
      </c>
      <c r="M119">
        <v>75.000000009999994</v>
      </c>
      <c r="N119">
        <v>0</v>
      </c>
      <c r="O119">
        <v>75.000000009999994</v>
      </c>
      <c r="P119">
        <v>0</v>
      </c>
      <c r="Q119">
        <v>0</v>
      </c>
      <c r="R119">
        <v>75.000000009999994</v>
      </c>
      <c r="S119" t="s">
        <v>88</v>
      </c>
      <c r="T119" t="s">
        <v>58</v>
      </c>
      <c r="U119">
        <v>10000064</v>
      </c>
      <c r="Y119" t="s">
        <v>81</v>
      </c>
      <c r="Z119" t="s">
        <v>82</v>
      </c>
    </row>
    <row r="120" spans="1:26" x14ac:dyDescent="0.45">
      <c r="A120" t="s">
        <v>26</v>
      </c>
      <c r="B120">
        <v>151409762</v>
      </c>
      <c r="C120">
        <v>10001013</v>
      </c>
      <c r="D120" t="s">
        <v>27</v>
      </c>
      <c r="E120" t="s">
        <v>28</v>
      </c>
      <c r="F120">
        <v>351030</v>
      </c>
      <c r="G120">
        <v>5552445074</v>
      </c>
      <c r="H120">
        <v>23378822</v>
      </c>
      <c r="I120" t="s">
        <v>73</v>
      </c>
      <c r="K120" t="s">
        <v>30</v>
      </c>
      <c r="L120" t="s">
        <v>55</v>
      </c>
      <c r="M120">
        <v>75.000000009999994</v>
      </c>
      <c r="N120">
        <v>0</v>
      </c>
      <c r="O120">
        <v>75.000000009999994</v>
      </c>
      <c r="P120">
        <v>0</v>
      </c>
      <c r="Q120">
        <v>0</v>
      </c>
      <c r="R120">
        <v>75.000000009999994</v>
      </c>
      <c r="S120" t="s">
        <v>37</v>
      </c>
      <c r="T120" t="s">
        <v>58</v>
      </c>
      <c r="U120">
        <v>10000064</v>
      </c>
      <c r="Y120" t="s">
        <v>81</v>
      </c>
      <c r="Z120" t="s">
        <v>82</v>
      </c>
    </row>
    <row r="121" spans="1:26" x14ac:dyDescent="0.45">
      <c r="A121" t="s">
        <v>26</v>
      </c>
      <c r="B121">
        <v>151413164</v>
      </c>
      <c r="C121">
        <v>10000064</v>
      </c>
      <c r="D121" t="s">
        <v>27</v>
      </c>
      <c r="E121" t="s">
        <v>28</v>
      </c>
      <c r="F121">
        <v>352529</v>
      </c>
      <c r="G121">
        <v>5595608513</v>
      </c>
      <c r="H121">
        <v>23437284</v>
      </c>
      <c r="I121" t="s">
        <v>89</v>
      </c>
      <c r="K121" t="s">
        <v>30</v>
      </c>
      <c r="L121" t="s">
        <v>40</v>
      </c>
      <c r="M121">
        <v>75.000000009999994</v>
      </c>
      <c r="N121">
        <v>0</v>
      </c>
      <c r="O121">
        <v>75.000000009999994</v>
      </c>
      <c r="P121">
        <v>0</v>
      </c>
      <c r="Q121">
        <v>0</v>
      </c>
      <c r="R121">
        <v>75.000000009999994</v>
      </c>
      <c r="S121" t="s">
        <v>41</v>
      </c>
      <c r="T121" t="s">
        <v>58</v>
      </c>
      <c r="U121">
        <v>10001013</v>
      </c>
      <c r="Y121" t="s">
        <v>81</v>
      </c>
      <c r="Z121" t="s">
        <v>82</v>
      </c>
    </row>
    <row r="122" spans="1:26" x14ac:dyDescent="0.45">
      <c r="A122" t="s">
        <v>26</v>
      </c>
      <c r="B122">
        <v>151428315</v>
      </c>
      <c r="C122">
        <v>10001013</v>
      </c>
      <c r="D122" t="s">
        <v>27</v>
      </c>
      <c r="E122" t="s">
        <v>28</v>
      </c>
      <c r="F122">
        <v>345495</v>
      </c>
      <c r="G122">
        <v>5575829858</v>
      </c>
      <c r="H122">
        <v>23871005</v>
      </c>
      <c r="I122" t="s">
        <v>90</v>
      </c>
      <c r="K122" t="s">
        <v>30</v>
      </c>
      <c r="L122" t="s">
        <v>40</v>
      </c>
      <c r="M122">
        <v>75.000000009999994</v>
      </c>
      <c r="N122">
        <v>0</v>
      </c>
      <c r="O122">
        <v>75.000000009999994</v>
      </c>
      <c r="P122">
        <v>0</v>
      </c>
      <c r="Q122">
        <v>0</v>
      </c>
      <c r="R122">
        <v>75.000000009999994</v>
      </c>
      <c r="S122" t="s">
        <v>37</v>
      </c>
      <c r="T122" t="s">
        <v>58</v>
      </c>
      <c r="U122">
        <v>10000064</v>
      </c>
      <c r="Y122" t="s">
        <v>81</v>
      </c>
      <c r="Z122" t="s">
        <v>82</v>
      </c>
    </row>
    <row r="123" spans="1:26" x14ac:dyDescent="0.45">
      <c r="A123" t="s">
        <v>26</v>
      </c>
      <c r="B123">
        <v>151432596</v>
      </c>
      <c r="C123">
        <v>10000064</v>
      </c>
      <c r="D123" t="s">
        <v>27</v>
      </c>
      <c r="E123" t="s">
        <v>28</v>
      </c>
      <c r="F123">
        <v>346072</v>
      </c>
      <c r="G123">
        <v>5529243850</v>
      </c>
      <c r="H123">
        <v>23953054</v>
      </c>
      <c r="I123" t="s">
        <v>91</v>
      </c>
      <c r="K123" t="s">
        <v>30</v>
      </c>
      <c r="L123" t="s">
        <v>39</v>
      </c>
      <c r="M123">
        <v>75.000000009999994</v>
      </c>
      <c r="N123">
        <v>0</v>
      </c>
      <c r="O123">
        <v>75.000000009999994</v>
      </c>
      <c r="P123">
        <v>0</v>
      </c>
      <c r="Q123">
        <v>0</v>
      </c>
      <c r="R123">
        <v>75.000000009999994</v>
      </c>
      <c r="S123" t="s">
        <v>37</v>
      </c>
      <c r="T123" t="s">
        <v>58</v>
      </c>
      <c r="U123">
        <v>10000064</v>
      </c>
      <c r="Y123" t="s">
        <v>81</v>
      </c>
      <c r="Z123" t="s">
        <v>82</v>
      </c>
    </row>
    <row r="124" spans="1:26" x14ac:dyDescent="0.45">
      <c r="A124" t="s">
        <v>26</v>
      </c>
      <c r="B124">
        <v>151437536</v>
      </c>
      <c r="C124">
        <v>10000064</v>
      </c>
      <c r="D124" t="s">
        <v>27</v>
      </c>
      <c r="E124" t="s">
        <v>28</v>
      </c>
      <c r="F124">
        <v>348485</v>
      </c>
      <c r="G124">
        <v>5516734333</v>
      </c>
      <c r="H124">
        <v>23999326</v>
      </c>
      <c r="I124" t="s">
        <v>92</v>
      </c>
      <c r="K124" t="s">
        <v>30</v>
      </c>
      <c r="L124" t="s">
        <v>36</v>
      </c>
      <c r="M124">
        <v>75.000000009999994</v>
      </c>
      <c r="N124">
        <v>0</v>
      </c>
      <c r="O124">
        <v>75.000000009999994</v>
      </c>
      <c r="P124">
        <v>0</v>
      </c>
      <c r="Q124">
        <v>0</v>
      </c>
      <c r="R124">
        <v>75.000000009999994</v>
      </c>
      <c r="S124" t="s">
        <v>44</v>
      </c>
      <c r="T124" t="s">
        <v>58</v>
      </c>
      <c r="U124">
        <v>10000064</v>
      </c>
      <c r="Y124" t="s">
        <v>81</v>
      </c>
      <c r="Z124" t="s">
        <v>82</v>
      </c>
    </row>
    <row r="125" spans="1:26" x14ac:dyDescent="0.45">
      <c r="A125" t="s">
        <v>26</v>
      </c>
      <c r="B125">
        <v>151438772</v>
      </c>
      <c r="C125">
        <v>10001013</v>
      </c>
      <c r="D125" t="s">
        <v>27</v>
      </c>
      <c r="E125" t="s">
        <v>28</v>
      </c>
      <c r="F125">
        <v>348467</v>
      </c>
      <c r="G125">
        <v>5511049544</v>
      </c>
      <c r="H125">
        <v>24059074</v>
      </c>
      <c r="I125" t="s">
        <v>80</v>
      </c>
      <c r="K125" t="s">
        <v>30</v>
      </c>
      <c r="L125" t="s">
        <v>40</v>
      </c>
      <c r="M125">
        <v>75.000000009999994</v>
      </c>
      <c r="N125">
        <v>0</v>
      </c>
      <c r="O125">
        <v>75.000000009999994</v>
      </c>
      <c r="P125">
        <v>0</v>
      </c>
      <c r="Q125">
        <v>0</v>
      </c>
      <c r="R125">
        <v>75.000000009999994</v>
      </c>
      <c r="S125" t="s">
        <v>37</v>
      </c>
      <c r="T125" t="s">
        <v>58</v>
      </c>
      <c r="U125">
        <v>10000064</v>
      </c>
      <c r="Y125" t="s">
        <v>81</v>
      </c>
      <c r="Z125" t="s">
        <v>82</v>
      </c>
    </row>
    <row r="126" spans="1:26" x14ac:dyDescent="0.45">
      <c r="A126" t="s">
        <v>26</v>
      </c>
      <c r="B126">
        <v>151467648</v>
      </c>
      <c r="C126">
        <v>10001013</v>
      </c>
      <c r="D126" t="s">
        <v>27</v>
      </c>
      <c r="E126" t="s">
        <v>28</v>
      </c>
      <c r="F126">
        <v>353923</v>
      </c>
      <c r="G126">
        <v>5552737294</v>
      </c>
      <c r="H126">
        <v>24493680</v>
      </c>
      <c r="I126" t="s">
        <v>93</v>
      </c>
      <c r="K126" t="s">
        <v>30</v>
      </c>
      <c r="L126" t="s">
        <v>40</v>
      </c>
      <c r="M126">
        <v>249.99999998999999</v>
      </c>
      <c r="N126">
        <v>249.99999998999999</v>
      </c>
      <c r="O126">
        <v>0</v>
      </c>
      <c r="P126">
        <v>0</v>
      </c>
      <c r="Q126">
        <v>0</v>
      </c>
      <c r="R126">
        <v>249.99999998999999</v>
      </c>
      <c r="S126" t="s">
        <v>37</v>
      </c>
      <c r="T126" t="s">
        <v>38</v>
      </c>
      <c r="U126">
        <v>10001470</v>
      </c>
      <c r="Y126" t="s">
        <v>81</v>
      </c>
      <c r="Z126" t="s">
        <v>82</v>
      </c>
    </row>
    <row r="127" spans="1:26" x14ac:dyDescent="0.45">
      <c r="A127" t="s">
        <v>26</v>
      </c>
      <c r="B127">
        <v>151460687</v>
      </c>
      <c r="C127">
        <v>10000064</v>
      </c>
      <c r="D127" t="s">
        <v>27</v>
      </c>
      <c r="E127" t="s">
        <v>28</v>
      </c>
      <c r="F127">
        <v>348485</v>
      </c>
      <c r="G127">
        <v>5526505112</v>
      </c>
      <c r="H127">
        <v>24298269</v>
      </c>
      <c r="I127" t="s">
        <v>78</v>
      </c>
      <c r="K127" t="s">
        <v>30</v>
      </c>
      <c r="L127" t="s">
        <v>31</v>
      </c>
      <c r="M127">
        <v>75.000000009999994</v>
      </c>
      <c r="N127">
        <v>0</v>
      </c>
      <c r="O127">
        <v>75.000000009999994</v>
      </c>
      <c r="P127">
        <v>0</v>
      </c>
      <c r="Q127">
        <v>0</v>
      </c>
      <c r="R127">
        <v>75.000000009999994</v>
      </c>
      <c r="S127" t="s">
        <v>32</v>
      </c>
      <c r="T127" t="s">
        <v>58</v>
      </c>
      <c r="U127">
        <v>10000064</v>
      </c>
      <c r="Y127" t="s">
        <v>81</v>
      </c>
      <c r="Z127" t="s">
        <v>82</v>
      </c>
    </row>
    <row r="128" spans="1:26" x14ac:dyDescent="0.45">
      <c r="A128" t="s">
        <v>26</v>
      </c>
      <c r="B128">
        <v>151460691</v>
      </c>
      <c r="C128">
        <v>10000064</v>
      </c>
      <c r="D128" t="s">
        <v>27</v>
      </c>
      <c r="E128" t="s">
        <v>28</v>
      </c>
      <c r="F128">
        <v>346072</v>
      </c>
      <c r="G128">
        <v>5595011101</v>
      </c>
      <c r="H128">
        <v>24300518</v>
      </c>
      <c r="I128" t="s">
        <v>93</v>
      </c>
      <c r="K128" t="s">
        <v>30</v>
      </c>
      <c r="L128" t="s">
        <v>40</v>
      </c>
      <c r="M128">
        <v>249.99999998999999</v>
      </c>
      <c r="N128">
        <v>249.99999998999999</v>
      </c>
      <c r="O128">
        <v>0</v>
      </c>
      <c r="P128">
        <v>0</v>
      </c>
      <c r="Q128">
        <v>0</v>
      </c>
      <c r="R128">
        <v>249.99999998999999</v>
      </c>
      <c r="S128" t="s">
        <v>37</v>
      </c>
      <c r="T128" t="s">
        <v>38</v>
      </c>
      <c r="U128">
        <v>10000064</v>
      </c>
      <c r="Y128" t="s">
        <v>81</v>
      </c>
      <c r="Z128" t="s">
        <v>82</v>
      </c>
    </row>
    <row r="129" spans="1:26" x14ac:dyDescent="0.45">
      <c r="A129" t="s">
        <v>26</v>
      </c>
      <c r="B129">
        <v>151460807</v>
      </c>
      <c r="C129">
        <v>10000064</v>
      </c>
      <c r="D129" t="s">
        <v>27</v>
      </c>
      <c r="E129" t="s">
        <v>28</v>
      </c>
      <c r="F129">
        <v>346072</v>
      </c>
      <c r="G129">
        <v>5557034023</v>
      </c>
      <c r="H129">
        <v>24521664</v>
      </c>
      <c r="I129" t="s">
        <v>94</v>
      </c>
      <c r="K129" t="s">
        <v>30</v>
      </c>
      <c r="L129" t="s">
        <v>40</v>
      </c>
      <c r="M129">
        <v>249.99999998999999</v>
      </c>
      <c r="N129">
        <v>249.99999998999999</v>
      </c>
      <c r="O129">
        <v>0</v>
      </c>
      <c r="P129">
        <v>0</v>
      </c>
      <c r="Q129">
        <v>0</v>
      </c>
      <c r="R129">
        <v>249.99999998999999</v>
      </c>
      <c r="S129" t="s">
        <v>37</v>
      </c>
      <c r="T129" t="s">
        <v>38</v>
      </c>
      <c r="U129">
        <v>10000064</v>
      </c>
      <c r="Y129" t="s">
        <v>81</v>
      </c>
      <c r="Z129" t="s">
        <v>82</v>
      </c>
    </row>
    <row r="130" spans="1:26" x14ac:dyDescent="0.45">
      <c r="A130" t="s">
        <v>26</v>
      </c>
      <c r="B130">
        <v>151462717</v>
      </c>
      <c r="C130">
        <v>10000064</v>
      </c>
      <c r="D130" t="s">
        <v>27</v>
      </c>
      <c r="E130" t="s">
        <v>28</v>
      </c>
      <c r="F130">
        <v>346072</v>
      </c>
      <c r="G130">
        <v>5517134436</v>
      </c>
      <c r="H130">
        <v>24498639</v>
      </c>
      <c r="I130" t="s">
        <v>93</v>
      </c>
      <c r="K130" t="s">
        <v>30</v>
      </c>
      <c r="L130" t="s">
        <v>40</v>
      </c>
      <c r="M130">
        <v>249.99999998999999</v>
      </c>
      <c r="N130">
        <v>249.99999998999999</v>
      </c>
      <c r="O130">
        <v>0</v>
      </c>
      <c r="P130">
        <v>0</v>
      </c>
      <c r="Q130">
        <v>0</v>
      </c>
      <c r="R130">
        <v>249.99999998999999</v>
      </c>
      <c r="S130" t="s">
        <v>37</v>
      </c>
      <c r="T130" t="s">
        <v>38</v>
      </c>
      <c r="U130">
        <v>10000064</v>
      </c>
      <c r="Y130" t="s">
        <v>81</v>
      </c>
      <c r="Z130" t="s">
        <v>82</v>
      </c>
    </row>
    <row r="131" spans="1:26" x14ac:dyDescent="0.45">
      <c r="A131" t="s">
        <v>26</v>
      </c>
      <c r="B131">
        <v>151462743</v>
      </c>
      <c r="C131">
        <v>10000064</v>
      </c>
      <c r="D131" t="s">
        <v>27</v>
      </c>
      <c r="E131" t="s">
        <v>28</v>
      </c>
      <c r="F131">
        <v>346072</v>
      </c>
      <c r="G131">
        <v>5570346045</v>
      </c>
      <c r="H131">
        <v>24343482</v>
      </c>
      <c r="I131" t="s">
        <v>95</v>
      </c>
      <c r="K131" t="s">
        <v>30</v>
      </c>
      <c r="L131" t="s">
        <v>40</v>
      </c>
      <c r="M131">
        <v>249.99999998999999</v>
      </c>
      <c r="N131">
        <v>249.99999998999999</v>
      </c>
      <c r="O131">
        <v>0</v>
      </c>
      <c r="P131">
        <v>0</v>
      </c>
      <c r="Q131">
        <v>0</v>
      </c>
      <c r="R131">
        <v>249.99999998999999</v>
      </c>
      <c r="S131" t="s">
        <v>53</v>
      </c>
      <c r="T131" t="s">
        <v>38</v>
      </c>
      <c r="U131">
        <v>10001013</v>
      </c>
      <c r="Y131" t="s">
        <v>81</v>
      </c>
      <c r="Z131" t="s">
        <v>82</v>
      </c>
    </row>
    <row r="132" spans="1:26" x14ac:dyDescent="0.45">
      <c r="A132" t="s">
        <v>26</v>
      </c>
      <c r="B132">
        <v>151462818</v>
      </c>
      <c r="C132">
        <v>10000064</v>
      </c>
      <c r="D132" t="s">
        <v>27</v>
      </c>
      <c r="E132" t="s">
        <v>28</v>
      </c>
      <c r="F132">
        <v>348485</v>
      </c>
      <c r="G132">
        <v>5555485974</v>
      </c>
      <c r="H132">
        <v>24338358</v>
      </c>
      <c r="I132" t="s">
        <v>93</v>
      </c>
      <c r="K132" t="s">
        <v>30</v>
      </c>
      <c r="L132" t="s">
        <v>42</v>
      </c>
      <c r="M132">
        <v>249.99999998999999</v>
      </c>
      <c r="N132">
        <v>249.99999998999999</v>
      </c>
      <c r="O132">
        <v>0</v>
      </c>
      <c r="P132">
        <v>0</v>
      </c>
      <c r="Q132">
        <v>0</v>
      </c>
      <c r="R132">
        <v>249.99999998999999</v>
      </c>
      <c r="S132" t="s">
        <v>37</v>
      </c>
      <c r="T132" t="s">
        <v>38</v>
      </c>
      <c r="U132">
        <v>10001013</v>
      </c>
      <c r="Y132" t="s">
        <v>81</v>
      </c>
      <c r="Z132" t="s">
        <v>82</v>
      </c>
    </row>
    <row r="133" spans="1:26" x14ac:dyDescent="0.45">
      <c r="A133" t="s">
        <v>26</v>
      </c>
      <c r="B133">
        <v>151465310</v>
      </c>
      <c r="C133">
        <v>10000064</v>
      </c>
      <c r="D133" t="s">
        <v>27</v>
      </c>
      <c r="E133" t="s">
        <v>28</v>
      </c>
      <c r="F133">
        <v>346072</v>
      </c>
      <c r="G133">
        <v>5557727376</v>
      </c>
      <c r="H133">
        <v>24498715</v>
      </c>
      <c r="I133" t="s">
        <v>93</v>
      </c>
      <c r="K133" t="s">
        <v>30</v>
      </c>
      <c r="L133" t="s">
        <v>40</v>
      </c>
      <c r="M133">
        <v>249.99999998999999</v>
      </c>
      <c r="N133">
        <v>249.99999998999999</v>
      </c>
      <c r="O133">
        <v>0</v>
      </c>
      <c r="P133">
        <v>0</v>
      </c>
      <c r="Q133">
        <v>0</v>
      </c>
      <c r="R133">
        <v>249.99999998999999</v>
      </c>
      <c r="S133" t="s">
        <v>37</v>
      </c>
      <c r="T133" t="s">
        <v>38</v>
      </c>
      <c r="U133">
        <v>10001470</v>
      </c>
      <c r="Y133" t="s">
        <v>81</v>
      </c>
      <c r="Z133" t="s">
        <v>82</v>
      </c>
    </row>
    <row r="134" spans="1:26" x14ac:dyDescent="0.45">
      <c r="A134" t="s">
        <v>26</v>
      </c>
      <c r="B134">
        <v>151465766</v>
      </c>
      <c r="C134">
        <v>10000064</v>
      </c>
      <c r="D134" t="s">
        <v>27</v>
      </c>
      <c r="E134" t="s">
        <v>28</v>
      </c>
      <c r="F134">
        <v>346072</v>
      </c>
      <c r="G134">
        <v>5552738001</v>
      </c>
      <c r="H134">
        <v>24494036</v>
      </c>
      <c r="I134" t="s">
        <v>93</v>
      </c>
      <c r="K134" t="s">
        <v>30</v>
      </c>
      <c r="L134" t="s">
        <v>40</v>
      </c>
      <c r="M134">
        <v>249.99999998999999</v>
      </c>
      <c r="N134">
        <v>249.99999998999999</v>
      </c>
      <c r="O134">
        <v>0</v>
      </c>
      <c r="P134">
        <v>0</v>
      </c>
      <c r="Q134">
        <v>0</v>
      </c>
      <c r="R134">
        <v>249.99999998999999</v>
      </c>
      <c r="S134" t="s">
        <v>37</v>
      </c>
      <c r="T134" t="s">
        <v>38</v>
      </c>
      <c r="U134">
        <v>10001470</v>
      </c>
      <c r="Y134" t="s">
        <v>81</v>
      </c>
      <c r="Z134" t="s">
        <v>82</v>
      </c>
    </row>
    <row r="135" spans="1:26" x14ac:dyDescent="0.45">
      <c r="A135" t="s">
        <v>26</v>
      </c>
      <c r="B135">
        <v>151465956</v>
      </c>
      <c r="C135">
        <v>10001013</v>
      </c>
      <c r="D135" t="s">
        <v>27</v>
      </c>
      <c r="E135" t="s">
        <v>28</v>
      </c>
      <c r="F135">
        <v>353923</v>
      </c>
      <c r="G135">
        <v>5552738346</v>
      </c>
      <c r="H135">
        <v>24542164</v>
      </c>
      <c r="I135" t="s">
        <v>95</v>
      </c>
      <c r="K135" t="s">
        <v>30</v>
      </c>
      <c r="L135" t="s">
        <v>40</v>
      </c>
      <c r="M135">
        <v>249.99999998999999</v>
      </c>
      <c r="N135">
        <v>249.99999998999999</v>
      </c>
      <c r="O135">
        <v>0</v>
      </c>
      <c r="P135">
        <v>0</v>
      </c>
      <c r="Q135">
        <v>0</v>
      </c>
      <c r="R135">
        <v>249.99999998999999</v>
      </c>
      <c r="S135" t="s">
        <v>37</v>
      </c>
      <c r="T135" t="s">
        <v>38</v>
      </c>
      <c r="U135">
        <v>10001470</v>
      </c>
      <c r="Y135" t="s">
        <v>81</v>
      </c>
      <c r="Z135" t="s">
        <v>82</v>
      </c>
    </row>
    <row r="136" spans="1:26" x14ac:dyDescent="0.45">
      <c r="A136" t="s">
        <v>26</v>
      </c>
      <c r="B136">
        <v>151472537</v>
      </c>
      <c r="C136">
        <v>10000064</v>
      </c>
      <c r="D136" t="s">
        <v>27</v>
      </c>
      <c r="E136" t="s">
        <v>28</v>
      </c>
      <c r="F136">
        <v>346072</v>
      </c>
      <c r="G136">
        <v>5523457529</v>
      </c>
      <c r="H136">
        <v>24648061</v>
      </c>
      <c r="I136" t="s">
        <v>29</v>
      </c>
      <c r="K136" t="s">
        <v>30</v>
      </c>
      <c r="L136" t="s">
        <v>40</v>
      </c>
      <c r="M136">
        <v>249.99999998999999</v>
      </c>
      <c r="N136">
        <v>249.99999998999999</v>
      </c>
      <c r="O136">
        <v>0</v>
      </c>
      <c r="P136">
        <v>0</v>
      </c>
      <c r="Q136">
        <v>0</v>
      </c>
      <c r="R136">
        <v>249.99999998999999</v>
      </c>
      <c r="S136" t="s">
        <v>37</v>
      </c>
      <c r="T136" t="s">
        <v>38</v>
      </c>
      <c r="U136">
        <v>10000064</v>
      </c>
      <c r="Y136" t="s">
        <v>96</v>
      </c>
      <c r="Z136" t="s">
        <v>97</v>
      </c>
    </row>
    <row r="137" spans="1:26" x14ac:dyDescent="0.45">
      <c r="A137" t="s">
        <v>26</v>
      </c>
      <c r="B137">
        <v>151489087</v>
      </c>
      <c r="C137">
        <v>10001013</v>
      </c>
      <c r="D137" t="s">
        <v>27</v>
      </c>
      <c r="E137" t="s">
        <v>28</v>
      </c>
      <c r="F137">
        <v>353923</v>
      </c>
      <c r="G137">
        <v>5522343856</v>
      </c>
      <c r="H137">
        <v>24779399</v>
      </c>
      <c r="I137" t="s">
        <v>29</v>
      </c>
      <c r="M137">
        <v>249.99999998999999</v>
      </c>
      <c r="N137">
        <v>249.99999998999999</v>
      </c>
      <c r="O137">
        <v>0</v>
      </c>
      <c r="P137">
        <v>0</v>
      </c>
      <c r="Q137">
        <v>0</v>
      </c>
      <c r="R137">
        <v>249.99999998999999</v>
      </c>
      <c r="S137" t="s">
        <v>51</v>
      </c>
      <c r="T137" t="s">
        <v>38</v>
      </c>
      <c r="U137">
        <v>10001013</v>
      </c>
      <c r="Y137" t="s">
        <v>96</v>
      </c>
      <c r="Z137" t="s">
        <v>97</v>
      </c>
    </row>
    <row r="138" spans="1:26" x14ac:dyDescent="0.45">
      <c r="A138" t="s">
        <v>26</v>
      </c>
      <c r="B138">
        <v>151336320</v>
      </c>
      <c r="C138">
        <v>10000064</v>
      </c>
      <c r="D138" t="s">
        <v>27</v>
      </c>
      <c r="E138" t="s">
        <v>28</v>
      </c>
      <c r="F138">
        <v>346126</v>
      </c>
      <c r="G138">
        <v>5555739100</v>
      </c>
      <c r="H138">
        <v>22191236</v>
      </c>
      <c r="I138" t="s">
        <v>98</v>
      </c>
      <c r="K138" t="s">
        <v>30</v>
      </c>
      <c r="L138" t="s">
        <v>42</v>
      </c>
      <c r="M138">
        <v>49.999999998</v>
      </c>
      <c r="N138">
        <v>0</v>
      </c>
      <c r="O138">
        <v>49.999999998</v>
      </c>
      <c r="P138">
        <v>0</v>
      </c>
      <c r="Q138">
        <v>0</v>
      </c>
      <c r="R138">
        <v>49.999999998</v>
      </c>
      <c r="S138" t="s">
        <v>44</v>
      </c>
      <c r="T138" t="s">
        <v>69</v>
      </c>
      <c r="U138">
        <v>10000064</v>
      </c>
      <c r="Y138" t="s">
        <v>96</v>
      </c>
      <c r="Z138" t="s">
        <v>97</v>
      </c>
    </row>
    <row r="139" spans="1:26" x14ac:dyDescent="0.45">
      <c r="A139" t="s">
        <v>26</v>
      </c>
      <c r="B139">
        <v>151355829</v>
      </c>
      <c r="C139">
        <v>10001013</v>
      </c>
      <c r="D139" t="s">
        <v>27</v>
      </c>
      <c r="E139" t="s">
        <v>28</v>
      </c>
      <c r="F139">
        <v>348467</v>
      </c>
      <c r="G139">
        <v>5556458483</v>
      </c>
      <c r="H139">
        <v>22417743</v>
      </c>
      <c r="I139" t="s">
        <v>29</v>
      </c>
      <c r="K139" t="s">
        <v>30</v>
      </c>
      <c r="L139" t="s">
        <v>42</v>
      </c>
      <c r="M139">
        <v>249.99999998999999</v>
      </c>
      <c r="N139">
        <v>249.99999998999999</v>
      </c>
      <c r="O139">
        <v>0</v>
      </c>
      <c r="P139">
        <v>0</v>
      </c>
      <c r="Q139">
        <v>0</v>
      </c>
      <c r="R139">
        <v>249.99999998999999</v>
      </c>
      <c r="S139" t="s">
        <v>37</v>
      </c>
      <c r="T139" t="s">
        <v>38</v>
      </c>
      <c r="U139">
        <v>10001013</v>
      </c>
      <c r="Y139" t="s">
        <v>96</v>
      </c>
      <c r="Z139" t="s">
        <v>97</v>
      </c>
    </row>
    <row r="140" spans="1:26" x14ac:dyDescent="0.45">
      <c r="A140" t="s">
        <v>26</v>
      </c>
      <c r="B140">
        <v>151358405</v>
      </c>
      <c r="C140">
        <v>10001013</v>
      </c>
      <c r="D140" t="s">
        <v>27</v>
      </c>
      <c r="E140" t="s">
        <v>28</v>
      </c>
      <c r="F140">
        <v>345495</v>
      </c>
      <c r="G140">
        <v>5558621152</v>
      </c>
      <c r="H140">
        <v>22437453</v>
      </c>
      <c r="I140" t="s">
        <v>99</v>
      </c>
      <c r="K140" t="s">
        <v>30</v>
      </c>
      <c r="L140" t="s">
        <v>39</v>
      </c>
      <c r="M140">
        <v>75.000000009999994</v>
      </c>
      <c r="N140">
        <v>0</v>
      </c>
      <c r="O140">
        <v>75.000000009999994</v>
      </c>
      <c r="P140">
        <v>0</v>
      </c>
      <c r="Q140">
        <v>0</v>
      </c>
      <c r="R140">
        <v>75.000000009999994</v>
      </c>
      <c r="S140" t="s">
        <v>37</v>
      </c>
      <c r="T140" t="s">
        <v>58</v>
      </c>
      <c r="U140">
        <v>10001013</v>
      </c>
      <c r="Y140" t="s">
        <v>96</v>
      </c>
      <c r="Z140" t="s">
        <v>97</v>
      </c>
    </row>
    <row r="141" spans="1:26" x14ac:dyDescent="0.45">
      <c r="A141" t="s">
        <v>26</v>
      </c>
      <c r="B141">
        <v>151364624</v>
      </c>
      <c r="C141">
        <v>10000064</v>
      </c>
      <c r="D141" t="s">
        <v>27</v>
      </c>
      <c r="E141" t="s">
        <v>28</v>
      </c>
      <c r="F141">
        <v>346126</v>
      </c>
      <c r="G141">
        <v>5554896077</v>
      </c>
      <c r="H141">
        <v>22615535</v>
      </c>
      <c r="I141" t="s">
        <v>95</v>
      </c>
      <c r="K141" t="s">
        <v>30</v>
      </c>
      <c r="L141" t="s">
        <v>40</v>
      </c>
      <c r="M141">
        <v>75.000000009999994</v>
      </c>
      <c r="N141">
        <v>0</v>
      </c>
      <c r="O141">
        <v>75.000000009999994</v>
      </c>
      <c r="P141">
        <v>0</v>
      </c>
      <c r="Q141">
        <v>0</v>
      </c>
      <c r="R141">
        <v>75.000000009999994</v>
      </c>
      <c r="S141" t="s">
        <v>37</v>
      </c>
      <c r="T141" t="s">
        <v>58</v>
      </c>
      <c r="U141">
        <v>10000064</v>
      </c>
      <c r="Y141" t="s">
        <v>96</v>
      </c>
      <c r="Z141" t="s">
        <v>97</v>
      </c>
    </row>
    <row r="142" spans="1:26" x14ac:dyDescent="0.45">
      <c r="A142" t="s">
        <v>26</v>
      </c>
      <c r="B142">
        <v>151386479</v>
      </c>
      <c r="C142">
        <v>10000064</v>
      </c>
      <c r="D142" t="s">
        <v>27</v>
      </c>
      <c r="E142" t="s">
        <v>28</v>
      </c>
      <c r="F142">
        <v>351040</v>
      </c>
      <c r="G142">
        <v>5550871111</v>
      </c>
      <c r="H142">
        <v>22783513</v>
      </c>
      <c r="I142" t="s">
        <v>91</v>
      </c>
      <c r="K142" t="s">
        <v>30</v>
      </c>
      <c r="L142" t="s">
        <v>39</v>
      </c>
      <c r="M142">
        <v>49.999999998</v>
      </c>
      <c r="N142">
        <v>0</v>
      </c>
      <c r="O142">
        <v>49.999999998</v>
      </c>
      <c r="P142">
        <v>0</v>
      </c>
      <c r="Q142">
        <v>0</v>
      </c>
      <c r="R142">
        <v>49.999999998</v>
      </c>
      <c r="S142" t="s">
        <v>32</v>
      </c>
      <c r="T142" t="s">
        <v>69</v>
      </c>
      <c r="U142">
        <v>10000064</v>
      </c>
      <c r="Y142" t="s">
        <v>96</v>
      </c>
      <c r="Z142" t="s">
        <v>97</v>
      </c>
    </row>
    <row r="143" spans="1:26" x14ac:dyDescent="0.45">
      <c r="A143" t="s">
        <v>26</v>
      </c>
      <c r="B143">
        <v>151437027</v>
      </c>
      <c r="C143">
        <v>10000064</v>
      </c>
      <c r="D143" t="s">
        <v>27</v>
      </c>
      <c r="E143" t="s">
        <v>28</v>
      </c>
      <c r="F143">
        <v>346072</v>
      </c>
      <c r="G143">
        <v>5556752022</v>
      </c>
      <c r="H143">
        <v>24027548</v>
      </c>
      <c r="I143" t="s">
        <v>83</v>
      </c>
      <c r="K143" t="s">
        <v>30</v>
      </c>
      <c r="L143" t="s">
        <v>42</v>
      </c>
      <c r="M143">
        <v>75.000000009999994</v>
      </c>
      <c r="N143">
        <v>0</v>
      </c>
      <c r="O143">
        <v>75.000000009999994</v>
      </c>
      <c r="P143">
        <v>0</v>
      </c>
      <c r="Q143">
        <v>0</v>
      </c>
      <c r="R143">
        <v>75.000000009999994</v>
      </c>
      <c r="S143" t="s">
        <v>56</v>
      </c>
      <c r="T143" t="s">
        <v>58</v>
      </c>
      <c r="U143">
        <v>10000064</v>
      </c>
      <c r="Y143" t="s">
        <v>96</v>
      </c>
      <c r="Z143" t="s">
        <v>97</v>
      </c>
    </row>
    <row r="144" spans="1:26" x14ac:dyDescent="0.45">
      <c r="A144" t="s">
        <v>26</v>
      </c>
      <c r="B144">
        <v>151440349</v>
      </c>
      <c r="C144">
        <v>10001013</v>
      </c>
      <c r="D144" t="s">
        <v>27</v>
      </c>
      <c r="E144" t="s">
        <v>28</v>
      </c>
      <c r="F144">
        <v>348467</v>
      </c>
      <c r="G144">
        <v>5576022147</v>
      </c>
      <c r="H144">
        <v>24022634</v>
      </c>
      <c r="I144" t="s">
        <v>100</v>
      </c>
      <c r="K144" t="s">
        <v>30</v>
      </c>
      <c r="L144" t="s">
        <v>40</v>
      </c>
      <c r="M144">
        <v>75.000000009999994</v>
      </c>
      <c r="N144">
        <v>0</v>
      </c>
      <c r="O144">
        <v>75.000000009999994</v>
      </c>
      <c r="P144">
        <v>0</v>
      </c>
      <c r="Q144">
        <v>0</v>
      </c>
      <c r="R144">
        <v>75.000000009999994</v>
      </c>
      <c r="S144" t="s">
        <v>37</v>
      </c>
      <c r="T144" t="s">
        <v>58</v>
      </c>
      <c r="U144">
        <v>10001013</v>
      </c>
      <c r="Y144" t="s">
        <v>96</v>
      </c>
      <c r="Z144" t="s">
        <v>97</v>
      </c>
    </row>
    <row r="145" spans="1:26" x14ac:dyDescent="0.45">
      <c r="A145" t="s">
        <v>26</v>
      </c>
      <c r="B145">
        <v>151451995</v>
      </c>
      <c r="C145">
        <v>10000064</v>
      </c>
      <c r="D145" t="s">
        <v>27</v>
      </c>
      <c r="E145" t="s">
        <v>28</v>
      </c>
      <c r="F145">
        <v>348485</v>
      </c>
      <c r="G145">
        <v>5555293997</v>
      </c>
      <c r="H145">
        <v>24171749</v>
      </c>
      <c r="I145" t="s">
        <v>29</v>
      </c>
      <c r="K145" t="s">
        <v>30</v>
      </c>
      <c r="L145" t="s">
        <v>101</v>
      </c>
      <c r="M145">
        <v>249.99999998999999</v>
      </c>
      <c r="N145">
        <v>249.99999998999999</v>
      </c>
      <c r="O145">
        <v>0</v>
      </c>
      <c r="P145">
        <v>0</v>
      </c>
      <c r="Q145">
        <v>0</v>
      </c>
      <c r="R145">
        <v>249.99999998999999</v>
      </c>
      <c r="S145" t="s">
        <v>32</v>
      </c>
      <c r="T145" t="s">
        <v>38</v>
      </c>
      <c r="U145">
        <v>10000064</v>
      </c>
      <c r="Y145" t="s">
        <v>96</v>
      </c>
      <c r="Z145" t="s">
        <v>97</v>
      </c>
    </row>
    <row r="146" spans="1:26" x14ac:dyDescent="0.45">
      <c r="A146" t="s">
        <v>26</v>
      </c>
      <c r="B146">
        <v>151483962</v>
      </c>
      <c r="C146">
        <v>10001013</v>
      </c>
      <c r="D146" t="s">
        <v>27</v>
      </c>
      <c r="E146" t="s">
        <v>28</v>
      </c>
      <c r="F146">
        <v>353923</v>
      </c>
      <c r="G146">
        <v>5558012705</v>
      </c>
      <c r="H146">
        <v>24689243</v>
      </c>
      <c r="I146" t="s">
        <v>29</v>
      </c>
      <c r="K146" t="s">
        <v>30</v>
      </c>
      <c r="L146" t="s">
        <v>55</v>
      </c>
      <c r="M146">
        <v>249.99999998999999</v>
      </c>
      <c r="N146">
        <v>249.99999998999999</v>
      </c>
      <c r="O146">
        <v>0</v>
      </c>
      <c r="P146">
        <v>0</v>
      </c>
      <c r="Q146">
        <v>0</v>
      </c>
      <c r="R146">
        <v>249.99999998999999</v>
      </c>
      <c r="S146" t="s">
        <v>51</v>
      </c>
      <c r="T146" t="s">
        <v>38</v>
      </c>
      <c r="U146">
        <v>10001013</v>
      </c>
      <c r="Y146" t="s">
        <v>96</v>
      </c>
      <c r="Z146" t="s">
        <v>97</v>
      </c>
    </row>
    <row r="147" spans="1:26" x14ac:dyDescent="0.45">
      <c r="A147" t="s">
        <v>26</v>
      </c>
      <c r="B147">
        <v>151473856</v>
      </c>
      <c r="C147">
        <v>10000064</v>
      </c>
      <c r="D147" t="s">
        <v>27</v>
      </c>
      <c r="E147" t="s">
        <v>28</v>
      </c>
      <c r="F147">
        <v>346072</v>
      </c>
      <c r="G147">
        <v>5592882662</v>
      </c>
      <c r="H147">
        <v>24548366</v>
      </c>
      <c r="I147" t="s">
        <v>29</v>
      </c>
      <c r="K147" t="s">
        <v>30</v>
      </c>
      <c r="L147" t="s">
        <v>40</v>
      </c>
      <c r="M147">
        <v>249.99999998999999</v>
      </c>
      <c r="N147">
        <v>249.99999998999999</v>
      </c>
      <c r="O147">
        <v>0</v>
      </c>
      <c r="P147">
        <v>0</v>
      </c>
      <c r="Q147">
        <v>0</v>
      </c>
      <c r="R147">
        <v>249.99999998999999</v>
      </c>
      <c r="S147" t="s">
        <v>37</v>
      </c>
      <c r="T147" t="s">
        <v>38</v>
      </c>
      <c r="U147">
        <v>10000064</v>
      </c>
      <c r="Y147" t="s">
        <v>96</v>
      </c>
      <c r="Z147" t="s">
        <v>97</v>
      </c>
    </row>
    <row r="148" spans="1:26" x14ac:dyDescent="0.45">
      <c r="A148" t="s">
        <v>26</v>
      </c>
      <c r="B148">
        <v>151477226</v>
      </c>
      <c r="C148">
        <v>10001013</v>
      </c>
      <c r="D148" t="s">
        <v>27</v>
      </c>
      <c r="E148" t="s">
        <v>28</v>
      </c>
      <c r="F148">
        <v>348467</v>
      </c>
      <c r="G148">
        <v>5516759304</v>
      </c>
      <c r="H148">
        <v>24675410</v>
      </c>
      <c r="I148" t="s">
        <v>29</v>
      </c>
      <c r="K148" t="s">
        <v>30</v>
      </c>
      <c r="L148" t="s">
        <v>47</v>
      </c>
      <c r="M148">
        <v>249.99999998999999</v>
      </c>
      <c r="N148">
        <v>249.99999998999999</v>
      </c>
      <c r="O148">
        <v>0</v>
      </c>
      <c r="P148">
        <v>0</v>
      </c>
      <c r="Q148">
        <v>0</v>
      </c>
      <c r="R148">
        <v>249.99999998999999</v>
      </c>
      <c r="S148" t="s">
        <v>37</v>
      </c>
      <c r="T148" t="s">
        <v>38</v>
      </c>
      <c r="U148">
        <v>10001013</v>
      </c>
      <c r="Y148" t="s">
        <v>96</v>
      </c>
      <c r="Z148" t="s">
        <v>97</v>
      </c>
    </row>
    <row r="149" spans="1:26" x14ac:dyDescent="0.45">
      <c r="A149" t="s">
        <v>26</v>
      </c>
      <c r="B149">
        <v>151477245</v>
      </c>
      <c r="C149">
        <v>10000064</v>
      </c>
      <c r="D149" t="s">
        <v>27</v>
      </c>
      <c r="E149" t="s">
        <v>28</v>
      </c>
      <c r="F149">
        <v>346072</v>
      </c>
      <c r="G149">
        <v>5555556377</v>
      </c>
      <c r="H149">
        <v>24648164</v>
      </c>
      <c r="I149" t="s">
        <v>29</v>
      </c>
      <c r="K149" t="s">
        <v>30</v>
      </c>
      <c r="L149" t="s">
        <v>40</v>
      </c>
      <c r="M149">
        <v>249.99999998999999</v>
      </c>
      <c r="N149">
        <v>249.99999998999999</v>
      </c>
      <c r="O149">
        <v>0</v>
      </c>
      <c r="P149">
        <v>0</v>
      </c>
      <c r="Q149">
        <v>0</v>
      </c>
      <c r="R149">
        <v>249.99999998999999</v>
      </c>
      <c r="S149" t="s">
        <v>37</v>
      </c>
      <c r="T149" t="s">
        <v>38</v>
      </c>
      <c r="U149">
        <v>10000064</v>
      </c>
      <c r="Y149" t="s">
        <v>96</v>
      </c>
      <c r="Z149" t="s">
        <v>97</v>
      </c>
    </row>
    <row r="150" spans="1:26" x14ac:dyDescent="0.45">
      <c r="A150" t="s">
        <v>26</v>
      </c>
      <c r="B150">
        <v>151477273</v>
      </c>
      <c r="C150">
        <v>10000064</v>
      </c>
      <c r="D150" t="s">
        <v>27</v>
      </c>
      <c r="E150" t="s">
        <v>28</v>
      </c>
      <c r="F150">
        <v>348485</v>
      </c>
      <c r="G150">
        <v>5526504934</v>
      </c>
      <c r="H150">
        <v>24597686</v>
      </c>
      <c r="I150" t="s">
        <v>29</v>
      </c>
      <c r="K150" t="s">
        <v>30</v>
      </c>
      <c r="L150" t="s">
        <v>31</v>
      </c>
      <c r="M150">
        <v>249.99999998999999</v>
      </c>
      <c r="N150">
        <v>249.99999998999999</v>
      </c>
      <c r="O150">
        <v>0</v>
      </c>
      <c r="P150">
        <v>0</v>
      </c>
      <c r="Q150">
        <v>0</v>
      </c>
      <c r="R150">
        <v>249.99999998999999</v>
      </c>
      <c r="S150" t="s">
        <v>37</v>
      </c>
      <c r="T150" t="s">
        <v>38</v>
      </c>
      <c r="U150">
        <v>10000064</v>
      </c>
      <c r="Y150" t="s">
        <v>96</v>
      </c>
      <c r="Z150" t="s">
        <v>97</v>
      </c>
    </row>
    <row r="151" spans="1:26" x14ac:dyDescent="0.45">
      <c r="A151" t="s">
        <v>26</v>
      </c>
      <c r="B151">
        <v>151479237</v>
      </c>
      <c r="C151">
        <v>10000064</v>
      </c>
      <c r="D151" t="s">
        <v>27</v>
      </c>
      <c r="E151" t="s">
        <v>28</v>
      </c>
      <c r="F151">
        <v>346072</v>
      </c>
      <c r="G151">
        <v>5513341399</v>
      </c>
      <c r="H151">
        <v>24675427</v>
      </c>
      <c r="I151" t="s">
        <v>29</v>
      </c>
      <c r="K151" t="s">
        <v>30</v>
      </c>
      <c r="L151" t="s">
        <v>40</v>
      </c>
      <c r="M151">
        <v>249.99999998999999</v>
      </c>
      <c r="N151">
        <v>249.99999998999999</v>
      </c>
      <c r="O151">
        <v>0</v>
      </c>
      <c r="P151">
        <v>0</v>
      </c>
      <c r="Q151">
        <v>0</v>
      </c>
      <c r="R151">
        <v>249.99999998999999</v>
      </c>
      <c r="S151" t="s">
        <v>44</v>
      </c>
      <c r="T151" t="s">
        <v>38</v>
      </c>
      <c r="U151">
        <v>10000064</v>
      </c>
      <c r="Y151" t="s">
        <v>96</v>
      </c>
      <c r="Z151" t="s">
        <v>97</v>
      </c>
    </row>
    <row r="152" spans="1:26" x14ac:dyDescent="0.45">
      <c r="A152" t="s">
        <v>26</v>
      </c>
      <c r="B152">
        <v>151479665</v>
      </c>
      <c r="C152">
        <v>10000064</v>
      </c>
      <c r="D152" t="s">
        <v>27</v>
      </c>
      <c r="E152" t="s">
        <v>28</v>
      </c>
      <c r="F152">
        <v>346072</v>
      </c>
      <c r="G152">
        <v>5513341428</v>
      </c>
      <c r="H152">
        <v>24675446</v>
      </c>
      <c r="I152" t="s">
        <v>29</v>
      </c>
      <c r="K152" t="s">
        <v>30</v>
      </c>
      <c r="L152" t="s">
        <v>47</v>
      </c>
      <c r="M152">
        <v>249.99999998999999</v>
      </c>
      <c r="N152">
        <v>249.99999998999999</v>
      </c>
      <c r="O152">
        <v>0</v>
      </c>
      <c r="P152">
        <v>0</v>
      </c>
      <c r="Q152">
        <v>0</v>
      </c>
      <c r="R152">
        <v>249.99999998999999</v>
      </c>
      <c r="S152" t="s">
        <v>37</v>
      </c>
      <c r="T152" t="s">
        <v>38</v>
      </c>
      <c r="U152">
        <v>10000064</v>
      </c>
      <c r="Y152" t="s">
        <v>96</v>
      </c>
      <c r="Z152" t="s">
        <v>97</v>
      </c>
    </row>
    <row r="153" spans="1:26" x14ac:dyDescent="0.45">
      <c r="A153" t="s">
        <v>26</v>
      </c>
      <c r="B153">
        <v>151480988</v>
      </c>
      <c r="C153">
        <v>10001013</v>
      </c>
      <c r="D153" t="s">
        <v>27</v>
      </c>
      <c r="E153" t="s">
        <v>28</v>
      </c>
      <c r="F153">
        <v>353923</v>
      </c>
      <c r="G153">
        <v>5511069191</v>
      </c>
      <c r="H153">
        <v>24705433</v>
      </c>
      <c r="I153" t="s">
        <v>29</v>
      </c>
      <c r="K153" t="s">
        <v>30</v>
      </c>
      <c r="L153" t="s">
        <v>55</v>
      </c>
      <c r="M153">
        <v>249.99999998999999</v>
      </c>
      <c r="N153">
        <v>249.99999998999999</v>
      </c>
      <c r="O153">
        <v>0</v>
      </c>
      <c r="P153">
        <v>0</v>
      </c>
      <c r="Q153">
        <v>0</v>
      </c>
      <c r="R153">
        <v>249.99999998999999</v>
      </c>
      <c r="S153" t="s">
        <v>37</v>
      </c>
      <c r="T153" t="s">
        <v>38</v>
      </c>
      <c r="U153">
        <v>10001013</v>
      </c>
      <c r="Y153" t="s">
        <v>96</v>
      </c>
      <c r="Z153" t="s">
        <v>97</v>
      </c>
    </row>
    <row r="154" spans="1:26" x14ac:dyDescent="0.45">
      <c r="A154" t="s">
        <v>26</v>
      </c>
      <c r="B154">
        <v>151481486</v>
      </c>
      <c r="C154">
        <v>10001013</v>
      </c>
      <c r="D154" t="s">
        <v>27</v>
      </c>
      <c r="E154" t="s">
        <v>28</v>
      </c>
      <c r="F154">
        <v>353923</v>
      </c>
      <c r="G154">
        <v>5511069012</v>
      </c>
      <c r="H154">
        <v>24658819</v>
      </c>
      <c r="I154" t="s">
        <v>29</v>
      </c>
      <c r="K154" t="s">
        <v>30</v>
      </c>
      <c r="L154" t="s">
        <v>55</v>
      </c>
      <c r="M154">
        <v>249.99999998999999</v>
      </c>
      <c r="N154">
        <v>249.99999998999999</v>
      </c>
      <c r="O154">
        <v>0</v>
      </c>
      <c r="P154">
        <v>0</v>
      </c>
      <c r="Q154">
        <v>0</v>
      </c>
      <c r="R154">
        <v>249.99999998999999</v>
      </c>
      <c r="S154" t="s">
        <v>51</v>
      </c>
      <c r="T154" t="s">
        <v>38</v>
      </c>
      <c r="U154">
        <v>10001013</v>
      </c>
      <c r="Y154" t="s">
        <v>96</v>
      </c>
      <c r="Z154" t="s">
        <v>97</v>
      </c>
    </row>
    <row r="155" spans="1:26" x14ac:dyDescent="0.45">
      <c r="A155" t="s">
        <v>26</v>
      </c>
      <c r="B155">
        <v>151481807</v>
      </c>
      <c r="C155">
        <v>10001013</v>
      </c>
      <c r="D155" t="s">
        <v>27</v>
      </c>
      <c r="E155" t="s">
        <v>28</v>
      </c>
      <c r="F155">
        <v>353923</v>
      </c>
      <c r="G155">
        <v>5511696912</v>
      </c>
      <c r="H155">
        <v>24655531</v>
      </c>
      <c r="I155" t="s">
        <v>29</v>
      </c>
      <c r="K155" t="s">
        <v>30</v>
      </c>
      <c r="L155" t="s">
        <v>42</v>
      </c>
      <c r="M155">
        <v>249.99999998999999</v>
      </c>
      <c r="N155">
        <v>249.99999998999999</v>
      </c>
      <c r="O155">
        <v>0</v>
      </c>
      <c r="P155">
        <v>0</v>
      </c>
      <c r="Q155">
        <v>0</v>
      </c>
      <c r="R155">
        <v>249.99999998999999</v>
      </c>
      <c r="S155" t="s">
        <v>32</v>
      </c>
      <c r="T155" t="s">
        <v>38</v>
      </c>
      <c r="U155">
        <v>10001013</v>
      </c>
      <c r="Y155" t="s">
        <v>96</v>
      </c>
      <c r="Z155" t="s">
        <v>97</v>
      </c>
    </row>
    <row r="156" spans="1:26" x14ac:dyDescent="0.45">
      <c r="A156" t="s">
        <v>26</v>
      </c>
      <c r="B156">
        <v>151492435</v>
      </c>
      <c r="C156">
        <v>10000064</v>
      </c>
      <c r="D156" t="s">
        <v>27</v>
      </c>
      <c r="E156" t="s">
        <v>28</v>
      </c>
      <c r="F156">
        <v>346072</v>
      </c>
      <c r="G156">
        <v>5511072850</v>
      </c>
      <c r="H156">
        <v>24837847</v>
      </c>
      <c r="I156" t="s">
        <v>102</v>
      </c>
      <c r="K156" t="s">
        <v>30</v>
      </c>
      <c r="L156" t="s">
        <v>39</v>
      </c>
      <c r="M156">
        <v>262.99999998999999</v>
      </c>
      <c r="N156">
        <v>262.99999998999999</v>
      </c>
      <c r="O156">
        <v>0</v>
      </c>
      <c r="P156">
        <v>0</v>
      </c>
      <c r="Q156">
        <v>0</v>
      </c>
      <c r="R156">
        <v>262.99999998999999</v>
      </c>
      <c r="S156" t="s">
        <v>32</v>
      </c>
      <c r="T156" t="s">
        <v>38</v>
      </c>
      <c r="U156">
        <v>10000064</v>
      </c>
      <c r="Y156" t="s">
        <v>103</v>
      </c>
      <c r="Z156" t="s">
        <v>104</v>
      </c>
    </row>
    <row r="157" spans="1:26" x14ac:dyDescent="0.45">
      <c r="A157" t="s">
        <v>26</v>
      </c>
      <c r="B157">
        <v>151451990</v>
      </c>
      <c r="C157">
        <v>10001013</v>
      </c>
      <c r="D157" t="s">
        <v>27</v>
      </c>
      <c r="E157" t="s">
        <v>28</v>
      </c>
      <c r="F157">
        <v>348467</v>
      </c>
      <c r="G157">
        <v>5594643293</v>
      </c>
      <c r="H157">
        <v>24193581</v>
      </c>
      <c r="I157" t="s">
        <v>77</v>
      </c>
      <c r="K157" t="s">
        <v>30</v>
      </c>
      <c r="L157" t="s">
        <v>40</v>
      </c>
      <c r="M157">
        <v>55.000000002999997</v>
      </c>
      <c r="N157">
        <v>0</v>
      </c>
      <c r="O157">
        <v>55.000000002999997</v>
      </c>
      <c r="P157">
        <v>0</v>
      </c>
      <c r="Q157">
        <v>0</v>
      </c>
      <c r="R157">
        <v>55.000000002999997</v>
      </c>
      <c r="S157" t="s">
        <v>37</v>
      </c>
      <c r="T157" t="s">
        <v>58</v>
      </c>
      <c r="U157">
        <v>10001013</v>
      </c>
      <c r="Y157" t="s">
        <v>103</v>
      </c>
      <c r="Z157" t="s">
        <v>104</v>
      </c>
    </row>
    <row r="158" spans="1:26" x14ac:dyDescent="0.45">
      <c r="A158" t="s">
        <v>26</v>
      </c>
      <c r="B158">
        <v>151456274</v>
      </c>
      <c r="C158">
        <v>10000064</v>
      </c>
      <c r="D158" t="s">
        <v>27</v>
      </c>
      <c r="E158" t="s">
        <v>28</v>
      </c>
      <c r="F158">
        <v>346072</v>
      </c>
      <c r="G158">
        <v>5524665347</v>
      </c>
      <c r="H158">
        <v>24472122</v>
      </c>
      <c r="I158" t="s">
        <v>95</v>
      </c>
      <c r="K158" t="s">
        <v>30</v>
      </c>
      <c r="L158" t="s">
        <v>40</v>
      </c>
      <c r="M158">
        <v>55.000000002999997</v>
      </c>
      <c r="N158">
        <v>0</v>
      </c>
      <c r="O158">
        <v>55.000000002999997</v>
      </c>
      <c r="P158">
        <v>0</v>
      </c>
      <c r="Q158">
        <v>0</v>
      </c>
      <c r="R158">
        <v>55.000000002999997</v>
      </c>
      <c r="S158" t="s">
        <v>37</v>
      </c>
      <c r="T158" t="s">
        <v>58</v>
      </c>
      <c r="U158">
        <v>10000064</v>
      </c>
      <c r="Y158" t="s">
        <v>103</v>
      </c>
      <c r="Z158" t="s">
        <v>104</v>
      </c>
    </row>
    <row r="159" spans="1:26" x14ac:dyDescent="0.45">
      <c r="A159" t="s">
        <v>26</v>
      </c>
      <c r="B159">
        <v>151460739</v>
      </c>
      <c r="C159">
        <v>10000064</v>
      </c>
      <c r="D159" t="s">
        <v>27</v>
      </c>
      <c r="E159" t="s">
        <v>28</v>
      </c>
      <c r="F159">
        <v>346072</v>
      </c>
      <c r="G159">
        <v>5527910658</v>
      </c>
      <c r="H159">
        <v>24472161</v>
      </c>
      <c r="I159" t="s">
        <v>95</v>
      </c>
      <c r="K159" t="s">
        <v>30</v>
      </c>
      <c r="L159" t="s">
        <v>47</v>
      </c>
      <c r="M159">
        <v>55.000000002999997</v>
      </c>
      <c r="N159">
        <v>0</v>
      </c>
      <c r="O159">
        <v>55.000000002999997</v>
      </c>
      <c r="P159">
        <v>0</v>
      </c>
      <c r="Q159">
        <v>0</v>
      </c>
      <c r="R159">
        <v>55.000000002999997</v>
      </c>
      <c r="S159" t="s">
        <v>53</v>
      </c>
      <c r="T159" t="s">
        <v>58</v>
      </c>
      <c r="U159">
        <v>10000064</v>
      </c>
      <c r="Y159" t="s">
        <v>103</v>
      </c>
      <c r="Z159" t="s">
        <v>104</v>
      </c>
    </row>
    <row r="160" spans="1:26" x14ac:dyDescent="0.45">
      <c r="A160" t="s">
        <v>26</v>
      </c>
      <c r="B160">
        <v>151470043</v>
      </c>
      <c r="C160">
        <v>10000064</v>
      </c>
      <c r="D160" t="s">
        <v>27</v>
      </c>
      <c r="E160" t="s">
        <v>28</v>
      </c>
      <c r="F160">
        <v>346072</v>
      </c>
      <c r="G160">
        <v>5556479906</v>
      </c>
      <c r="H160">
        <v>24921285</v>
      </c>
      <c r="I160" t="s">
        <v>29</v>
      </c>
      <c r="K160" t="s">
        <v>30</v>
      </c>
      <c r="L160" t="s">
        <v>40</v>
      </c>
      <c r="M160">
        <v>262.99999998999999</v>
      </c>
      <c r="N160">
        <v>262.99999998999999</v>
      </c>
      <c r="O160">
        <v>0</v>
      </c>
      <c r="P160">
        <v>0</v>
      </c>
      <c r="Q160">
        <v>0</v>
      </c>
      <c r="R160">
        <v>262.99999998999999</v>
      </c>
      <c r="S160" t="s">
        <v>37</v>
      </c>
      <c r="T160" t="s">
        <v>38</v>
      </c>
      <c r="U160">
        <v>10000064</v>
      </c>
      <c r="Y160" t="s">
        <v>103</v>
      </c>
      <c r="Z160" t="s">
        <v>104</v>
      </c>
    </row>
    <row r="161" spans="1:26" x14ac:dyDescent="0.45">
      <c r="A161" t="s">
        <v>26</v>
      </c>
      <c r="B161">
        <v>151486768</v>
      </c>
      <c r="C161">
        <v>10000064</v>
      </c>
      <c r="D161" t="s">
        <v>27</v>
      </c>
      <c r="E161" t="s">
        <v>28</v>
      </c>
      <c r="F161">
        <v>346072</v>
      </c>
      <c r="G161">
        <v>5528393212</v>
      </c>
      <c r="H161">
        <v>24867956</v>
      </c>
      <c r="I161" t="s">
        <v>102</v>
      </c>
      <c r="K161" t="s">
        <v>30</v>
      </c>
      <c r="L161" t="s">
        <v>40</v>
      </c>
      <c r="M161">
        <v>262.99999998999999</v>
      </c>
      <c r="N161">
        <v>262.99999998999999</v>
      </c>
      <c r="O161">
        <v>0</v>
      </c>
      <c r="P161">
        <v>0</v>
      </c>
      <c r="Q161">
        <v>0</v>
      </c>
      <c r="R161">
        <v>262.99999998999999</v>
      </c>
      <c r="S161" t="s">
        <v>44</v>
      </c>
      <c r="T161" t="s">
        <v>38</v>
      </c>
      <c r="U161">
        <v>10000064</v>
      </c>
      <c r="Y161" t="s">
        <v>103</v>
      </c>
      <c r="Z161" t="s">
        <v>104</v>
      </c>
    </row>
    <row r="162" spans="1:26" x14ac:dyDescent="0.45">
      <c r="A162" t="s">
        <v>26</v>
      </c>
      <c r="B162">
        <v>151487136</v>
      </c>
      <c r="C162">
        <v>10001013</v>
      </c>
      <c r="D162" t="s">
        <v>27</v>
      </c>
      <c r="E162" t="s">
        <v>28</v>
      </c>
      <c r="F162">
        <v>353923</v>
      </c>
      <c r="G162">
        <v>5594606249</v>
      </c>
      <c r="H162">
        <v>25023303</v>
      </c>
      <c r="I162" t="s">
        <v>29</v>
      </c>
      <c r="K162" t="s">
        <v>30</v>
      </c>
      <c r="L162" t="s">
        <v>40</v>
      </c>
      <c r="M162">
        <v>262.99999998999999</v>
      </c>
      <c r="N162">
        <v>262.99999998999999</v>
      </c>
      <c r="O162">
        <v>0</v>
      </c>
      <c r="P162">
        <v>0</v>
      </c>
      <c r="Q162">
        <v>0</v>
      </c>
      <c r="R162">
        <v>262.99999998999999</v>
      </c>
      <c r="S162" t="s">
        <v>56</v>
      </c>
      <c r="T162" t="s">
        <v>38</v>
      </c>
      <c r="U162">
        <v>10001013</v>
      </c>
      <c r="Y162" t="s">
        <v>103</v>
      </c>
      <c r="Z162" t="s">
        <v>104</v>
      </c>
    </row>
    <row r="163" spans="1:26" x14ac:dyDescent="0.45">
      <c r="A163" t="s">
        <v>26</v>
      </c>
      <c r="B163">
        <v>151488756</v>
      </c>
      <c r="C163">
        <v>10000064</v>
      </c>
      <c r="D163" t="s">
        <v>27</v>
      </c>
      <c r="E163" t="s">
        <v>28</v>
      </c>
      <c r="F163">
        <v>346072</v>
      </c>
      <c r="G163">
        <v>5592144774</v>
      </c>
      <c r="H163">
        <v>24776504</v>
      </c>
      <c r="I163" t="s">
        <v>29</v>
      </c>
      <c r="M163">
        <v>262.99999998999999</v>
      </c>
      <c r="N163">
        <v>262.99999998999999</v>
      </c>
      <c r="O163">
        <v>0</v>
      </c>
      <c r="P163">
        <v>0</v>
      </c>
      <c r="Q163">
        <v>0</v>
      </c>
      <c r="R163">
        <v>262.99999998999999</v>
      </c>
      <c r="S163" t="s">
        <v>37</v>
      </c>
      <c r="T163" t="s">
        <v>38</v>
      </c>
      <c r="U163">
        <v>10000064</v>
      </c>
      <c r="Y163" t="s">
        <v>103</v>
      </c>
      <c r="Z163" t="s">
        <v>104</v>
      </c>
    </row>
    <row r="164" spans="1:26" x14ac:dyDescent="0.45">
      <c r="A164" t="s">
        <v>26</v>
      </c>
      <c r="B164">
        <v>151490113</v>
      </c>
      <c r="C164">
        <v>10000064</v>
      </c>
      <c r="D164" t="s">
        <v>27</v>
      </c>
      <c r="E164" t="s">
        <v>28</v>
      </c>
      <c r="F164">
        <v>346072</v>
      </c>
      <c r="G164">
        <v>5552661949</v>
      </c>
      <c r="H164">
        <v>24845879</v>
      </c>
      <c r="I164" t="s">
        <v>29</v>
      </c>
      <c r="K164" t="s">
        <v>30</v>
      </c>
      <c r="L164" t="s">
        <v>42</v>
      </c>
      <c r="M164">
        <v>262.99999998999999</v>
      </c>
      <c r="N164">
        <v>262.99999998999999</v>
      </c>
      <c r="O164">
        <v>0</v>
      </c>
      <c r="P164">
        <v>0</v>
      </c>
      <c r="Q164">
        <v>0</v>
      </c>
      <c r="R164">
        <v>262.99999998999999</v>
      </c>
      <c r="S164" t="s">
        <v>37</v>
      </c>
      <c r="T164" t="s">
        <v>38</v>
      </c>
      <c r="U164">
        <v>10000064</v>
      </c>
      <c r="Y164" t="s">
        <v>103</v>
      </c>
      <c r="Z164" t="s">
        <v>104</v>
      </c>
    </row>
    <row r="165" spans="1:26" x14ac:dyDescent="0.45">
      <c r="A165" t="s">
        <v>26</v>
      </c>
      <c r="B165">
        <v>151492357</v>
      </c>
      <c r="C165">
        <v>10000064</v>
      </c>
      <c r="D165" t="s">
        <v>27</v>
      </c>
      <c r="E165" t="s">
        <v>28</v>
      </c>
      <c r="F165">
        <v>348485</v>
      </c>
      <c r="G165">
        <v>5555556438</v>
      </c>
      <c r="H165">
        <v>24828526</v>
      </c>
      <c r="I165" t="s">
        <v>102</v>
      </c>
      <c r="K165" t="s">
        <v>30</v>
      </c>
      <c r="L165" t="s">
        <v>42</v>
      </c>
      <c r="M165">
        <v>262.99999998999999</v>
      </c>
      <c r="N165">
        <v>262.99999998999999</v>
      </c>
      <c r="O165">
        <v>0</v>
      </c>
      <c r="P165">
        <v>0</v>
      </c>
      <c r="Q165">
        <v>0</v>
      </c>
      <c r="R165">
        <v>262.99999998999999</v>
      </c>
      <c r="S165" t="s">
        <v>37</v>
      </c>
      <c r="T165" t="s">
        <v>38</v>
      </c>
      <c r="U165">
        <v>10000064</v>
      </c>
      <c r="Y165" t="s">
        <v>103</v>
      </c>
      <c r="Z165" t="s">
        <v>104</v>
      </c>
    </row>
    <row r="166" spans="1:26" x14ac:dyDescent="0.45">
      <c r="A166" t="s">
        <v>26</v>
      </c>
      <c r="B166">
        <v>151500396</v>
      </c>
      <c r="C166">
        <v>10000064</v>
      </c>
      <c r="D166" t="s">
        <v>27</v>
      </c>
      <c r="E166" t="s">
        <v>28</v>
      </c>
      <c r="F166">
        <v>352529</v>
      </c>
      <c r="G166">
        <v>5559495820</v>
      </c>
      <c r="H166">
        <v>25029561</v>
      </c>
      <c r="I166" t="s">
        <v>29</v>
      </c>
      <c r="M166">
        <v>262.99999998999999</v>
      </c>
      <c r="N166">
        <v>262.99999998999999</v>
      </c>
      <c r="O166">
        <v>0</v>
      </c>
      <c r="P166">
        <v>0</v>
      </c>
      <c r="Q166">
        <v>0</v>
      </c>
      <c r="R166">
        <v>262.99999998999999</v>
      </c>
      <c r="S166" t="s">
        <v>51</v>
      </c>
      <c r="T166" t="s">
        <v>38</v>
      </c>
      <c r="U166">
        <v>10000064</v>
      </c>
      <c r="Y166" t="s">
        <v>103</v>
      </c>
      <c r="Z166" t="s">
        <v>104</v>
      </c>
    </row>
    <row r="167" spans="1:26" x14ac:dyDescent="0.45">
      <c r="A167" t="s">
        <v>26</v>
      </c>
      <c r="B167">
        <v>151492481</v>
      </c>
      <c r="C167">
        <v>10000064</v>
      </c>
      <c r="D167" t="s">
        <v>27</v>
      </c>
      <c r="E167" t="s">
        <v>28</v>
      </c>
      <c r="F167">
        <v>348485</v>
      </c>
      <c r="G167">
        <v>5555552285</v>
      </c>
      <c r="H167">
        <v>24828093</v>
      </c>
      <c r="I167" t="s">
        <v>102</v>
      </c>
      <c r="K167" t="s">
        <v>30</v>
      </c>
      <c r="L167" t="s">
        <v>42</v>
      </c>
      <c r="M167">
        <v>262.99999998999999</v>
      </c>
      <c r="N167">
        <v>262.99999998999999</v>
      </c>
      <c r="O167">
        <v>0</v>
      </c>
      <c r="P167">
        <v>0</v>
      </c>
      <c r="Q167">
        <v>0</v>
      </c>
      <c r="R167">
        <v>262.99999998999999</v>
      </c>
      <c r="S167" t="s">
        <v>37</v>
      </c>
      <c r="T167" t="s">
        <v>38</v>
      </c>
      <c r="U167">
        <v>10000064</v>
      </c>
      <c r="Y167" t="s">
        <v>103</v>
      </c>
      <c r="Z167" t="s">
        <v>104</v>
      </c>
    </row>
    <row r="168" spans="1:26" x14ac:dyDescent="0.45">
      <c r="A168" t="s">
        <v>26</v>
      </c>
      <c r="B168">
        <v>151492967</v>
      </c>
      <c r="C168">
        <v>10000064</v>
      </c>
      <c r="D168" t="s">
        <v>27</v>
      </c>
      <c r="E168" t="s">
        <v>28</v>
      </c>
      <c r="F168">
        <v>348485</v>
      </c>
      <c r="G168">
        <v>5555556825</v>
      </c>
      <c r="H168">
        <v>24829026</v>
      </c>
      <c r="I168" t="s">
        <v>29</v>
      </c>
      <c r="M168">
        <v>262.99999998999999</v>
      </c>
      <c r="N168">
        <v>262.99999998999999</v>
      </c>
      <c r="O168">
        <v>0</v>
      </c>
      <c r="P168">
        <v>0</v>
      </c>
      <c r="Q168">
        <v>0</v>
      </c>
      <c r="R168">
        <v>262.99999998999999</v>
      </c>
      <c r="S168" t="s">
        <v>37</v>
      </c>
      <c r="T168" t="s">
        <v>38</v>
      </c>
      <c r="U168">
        <v>10000064</v>
      </c>
      <c r="Y168" t="s">
        <v>103</v>
      </c>
      <c r="Z168" t="s">
        <v>104</v>
      </c>
    </row>
    <row r="169" spans="1:26" x14ac:dyDescent="0.45">
      <c r="A169" t="s">
        <v>26</v>
      </c>
      <c r="B169">
        <v>151494092</v>
      </c>
      <c r="C169">
        <v>10001013</v>
      </c>
      <c r="D169" t="s">
        <v>27</v>
      </c>
      <c r="E169" t="s">
        <v>28</v>
      </c>
      <c r="F169">
        <v>353923</v>
      </c>
      <c r="G169">
        <v>5552446486</v>
      </c>
      <c r="H169">
        <v>24851700</v>
      </c>
      <c r="I169" t="s">
        <v>102</v>
      </c>
      <c r="K169" t="s">
        <v>30</v>
      </c>
      <c r="L169" t="s">
        <v>55</v>
      </c>
      <c r="M169">
        <v>317.99999997999998</v>
      </c>
      <c r="N169">
        <v>262.99999998999999</v>
      </c>
      <c r="O169">
        <v>55.000000002999997</v>
      </c>
      <c r="P169">
        <v>0</v>
      </c>
      <c r="Q169">
        <v>0</v>
      </c>
      <c r="R169">
        <v>317.99999997999998</v>
      </c>
      <c r="S169" t="s">
        <v>37</v>
      </c>
      <c r="T169" t="s">
        <v>105</v>
      </c>
      <c r="U169">
        <v>10001013</v>
      </c>
      <c r="Y169" t="s">
        <v>103</v>
      </c>
      <c r="Z169" t="s">
        <v>104</v>
      </c>
    </row>
    <row r="170" spans="1:26" x14ac:dyDescent="0.45">
      <c r="A170" t="s">
        <v>26</v>
      </c>
      <c r="B170">
        <v>151494294</v>
      </c>
      <c r="C170">
        <v>10000064</v>
      </c>
      <c r="D170" t="s">
        <v>27</v>
      </c>
      <c r="E170" t="s">
        <v>28</v>
      </c>
      <c r="F170">
        <v>348485</v>
      </c>
      <c r="G170">
        <v>5522085767</v>
      </c>
      <c r="H170">
        <v>24850674</v>
      </c>
      <c r="I170" t="s">
        <v>102</v>
      </c>
      <c r="K170" t="s">
        <v>30</v>
      </c>
      <c r="L170" t="s">
        <v>42</v>
      </c>
      <c r="M170">
        <v>262.99999998999999</v>
      </c>
      <c r="N170">
        <v>262.99999998999999</v>
      </c>
      <c r="O170">
        <v>0</v>
      </c>
      <c r="P170">
        <v>0</v>
      </c>
      <c r="Q170">
        <v>0</v>
      </c>
      <c r="R170">
        <v>262.99999998999999</v>
      </c>
      <c r="S170" t="s">
        <v>37</v>
      </c>
      <c r="T170" t="s">
        <v>38</v>
      </c>
      <c r="U170">
        <v>10000064</v>
      </c>
      <c r="Y170" t="s">
        <v>103</v>
      </c>
      <c r="Z170" t="s">
        <v>104</v>
      </c>
    </row>
    <row r="171" spans="1:26" x14ac:dyDescent="0.45">
      <c r="A171" t="s">
        <v>26</v>
      </c>
      <c r="B171">
        <v>151494524</v>
      </c>
      <c r="C171">
        <v>10001013</v>
      </c>
      <c r="D171" t="s">
        <v>27</v>
      </c>
      <c r="E171" t="s">
        <v>28</v>
      </c>
      <c r="F171">
        <v>353923</v>
      </c>
      <c r="G171">
        <v>5572587959</v>
      </c>
      <c r="H171">
        <v>24851283</v>
      </c>
      <c r="I171" t="s">
        <v>102</v>
      </c>
      <c r="K171" t="s">
        <v>30</v>
      </c>
      <c r="L171" t="s">
        <v>55</v>
      </c>
      <c r="M171">
        <v>262.99999998999999</v>
      </c>
      <c r="N171">
        <v>262.99999998999999</v>
      </c>
      <c r="O171">
        <v>0</v>
      </c>
      <c r="P171">
        <v>0</v>
      </c>
      <c r="Q171">
        <v>0</v>
      </c>
      <c r="R171">
        <v>262.99999998999999</v>
      </c>
      <c r="S171" t="s">
        <v>44</v>
      </c>
      <c r="T171" t="s">
        <v>38</v>
      </c>
      <c r="U171">
        <v>10001013</v>
      </c>
      <c r="Y171" t="s">
        <v>103</v>
      </c>
      <c r="Z171" t="s">
        <v>104</v>
      </c>
    </row>
    <row r="172" spans="1:26" x14ac:dyDescent="0.45">
      <c r="A172" t="s">
        <v>26</v>
      </c>
      <c r="B172">
        <v>151496325</v>
      </c>
      <c r="C172">
        <v>10000064</v>
      </c>
      <c r="D172" t="s">
        <v>27</v>
      </c>
      <c r="E172" t="s">
        <v>28</v>
      </c>
      <c r="F172">
        <v>352529</v>
      </c>
      <c r="G172">
        <v>5528395750</v>
      </c>
      <c r="H172">
        <v>24890289</v>
      </c>
      <c r="I172" t="s">
        <v>29</v>
      </c>
      <c r="K172" t="s">
        <v>30</v>
      </c>
      <c r="L172" t="s">
        <v>39</v>
      </c>
      <c r="M172">
        <v>262.99999998999999</v>
      </c>
      <c r="N172">
        <v>262.99999998999999</v>
      </c>
      <c r="O172">
        <v>0</v>
      </c>
      <c r="P172">
        <v>0</v>
      </c>
      <c r="Q172">
        <v>0</v>
      </c>
      <c r="R172">
        <v>262.99999998999999</v>
      </c>
      <c r="S172" t="s">
        <v>51</v>
      </c>
      <c r="T172" t="s">
        <v>38</v>
      </c>
      <c r="U172">
        <v>10000064</v>
      </c>
      <c r="Y172" t="s">
        <v>103</v>
      </c>
      <c r="Z172" t="s">
        <v>104</v>
      </c>
    </row>
    <row r="173" spans="1:26" x14ac:dyDescent="0.45">
      <c r="A173" t="s">
        <v>26</v>
      </c>
      <c r="B173">
        <v>151496895</v>
      </c>
      <c r="C173">
        <v>10001013</v>
      </c>
      <c r="D173" t="s">
        <v>27</v>
      </c>
      <c r="E173" t="s">
        <v>28</v>
      </c>
      <c r="F173">
        <v>353923</v>
      </c>
      <c r="G173">
        <v>5559197065</v>
      </c>
      <c r="H173">
        <v>25038507</v>
      </c>
      <c r="I173" t="s">
        <v>29</v>
      </c>
      <c r="K173" t="s">
        <v>30</v>
      </c>
      <c r="L173" t="s">
        <v>55</v>
      </c>
      <c r="M173">
        <v>262.99999998999999</v>
      </c>
      <c r="N173">
        <v>262.99999998999999</v>
      </c>
      <c r="O173">
        <v>0</v>
      </c>
      <c r="P173">
        <v>0</v>
      </c>
      <c r="Q173">
        <v>0</v>
      </c>
      <c r="R173">
        <v>262.99999998999999</v>
      </c>
      <c r="S173" t="s">
        <v>37</v>
      </c>
      <c r="T173" t="s">
        <v>38</v>
      </c>
      <c r="U173">
        <v>10001013</v>
      </c>
      <c r="Y173" t="s">
        <v>103</v>
      </c>
      <c r="Z173" t="s">
        <v>104</v>
      </c>
    </row>
    <row r="174" spans="1:26" x14ac:dyDescent="0.45">
      <c r="A174" t="s">
        <v>26</v>
      </c>
      <c r="B174">
        <v>151497756</v>
      </c>
      <c r="C174">
        <v>10001013</v>
      </c>
      <c r="D174" t="s">
        <v>27</v>
      </c>
      <c r="E174" t="s">
        <v>28</v>
      </c>
      <c r="F174">
        <v>353923</v>
      </c>
      <c r="G174">
        <v>5557578615</v>
      </c>
      <c r="H174">
        <v>25038506</v>
      </c>
      <c r="I174" t="s">
        <v>29</v>
      </c>
      <c r="K174" t="s">
        <v>30</v>
      </c>
      <c r="L174" t="s">
        <v>101</v>
      </c>
      <c r="M174">
        <v>262.99999998999999</v>
      </c>
      <c r="N174">
        <v>262.99999998999999</v>
      </c>
      <c r="O174">
        <v>0</v>
      </c>
      <c r="P174">
        <v>0</v>
      </c>
      <c r="Q174">
        <v>0</v>
      </c>
      <c r="R174">
        <v>262.99999998999999</v>
      </c>
      <c r="S174" t="s">
        <v>37</v>
      </c>
      <c r="T174" t="s">
        <v>38</v>
      </c>
      <c r="U174">
        <v>10001013</v>
      </c>
      <c r="Y174" t="s">
        <v>103</v>
      </c>
      <c r="Z174" t="s">
        <v>104</v>
      </c>
    </row>
    <row r="175" spans="1:26" x14ac:dyDescent="0.45">
      <c r="A175" t="s">
        <v>26</v>
      </c>
      <c r="B175">
        <v>151498103</v>
      </c>
      <c r="C175">
        <v>10001013</v>
      </c>
      <c r="D175" t="s">
        <v>27</v>
      </c>
      <c r="E175" t="s">
        <v>28</v>
      </c>
      <c r="F175">
        <v>353923</v>
      </c>
      <c r="G175">
        <v>5528729988</v>
      </c>
      <c r="H175">
        <v>24917652</v>
      </c>
      <c r="I175" t="s">
        <v>29</v>
      </c>
      <c r="K175" t="s">
        <v>30</v>
      </c>
      <c r="L175" t="s">
        <v>101</v>
      </c>
      <c r="M175">
        <v>262.99999998999999</v>
      </c>
      <c r="N175">
        <v>262.99999998999999</v>
      </c>
      <c r="O175">
        <v>0</v>
      </c>
      <c r="P175">
        <v>0</v>
      </c>
      <c r="Q175">
        <v>0</v>
      </c>
      <c r="R175">
        <v>262.99999998999999</v>
      </c>
      <c r="S175" t="s">
        <v>37</v>
      </c>
      <c r="T175" t="s">
        <v>38</v>
      </c>
      <c r="U175">
        <v>10001013</v>
      </c>
      <c r="Y175" t="s">
        <v>103</v>
      </c>
      <c r="Z175" t="s">
        <v>104</v>
      </c>
    </row>
    <row r="176" spans="1:26" x14ac:dyDescent="0.45">
      <c r="A176" t="s">
        <v>26</v>
      </c>
      <c r="B176">
        <v>151437027</v>
      </c>
      <c r="C176">
        <v>10000064</v>
      </c>
      <c r="D176" t="s">
        <v>27</v>
      </c>
      <c r="E176" t="s">
        <v>28</v>
      </c>
      <c r="F176">
        <v>346072</v>
      </c>
      <c r="G176">
        <v>5556752022</v>
      </c>
      <c r="H176">
        <v>24027548</v>
      </c>
      <c r="I176" t="s">
        <v>29</v>
      </c>
      <c r="K176" t="s">
        <v>30</v>
      </c>
      <c r="L176" t="s">
        <v>42</v>
      </c>
      <c r="M176">
        <v>9.6650000004999992</v>
      </c>
      <c r="N176">
        <v>13</v>
      </c>
      <c r="O176">
        <v>-3.33500000015</v>
      </c>
      <c r="P176">
        <v>0</v>
      </c>
      <c r="Q176">
        <v>0</v>
      </c>
      <c r="R176">
        <v>9.6650000004999992</v>
      </c>
      <c r="S176" t="s">
        <v>106</v>
      </c>
      <c r="T176" t="s">
        <v>107</v>
      </c>
      <c r="U176">
        <v>10000064</v>
      </c>
      <c r="Y176" t="s">
        <v>108</v>
      </c>
      <c r="Z176" t="s">
        <v>109</v>
      </c>
    </row>
    <row r="177" spans="1:26" x14ac:dyDescent="0.45">
      <c r="A177" t="s">
        <v>26</v>
      </c>
      <c r="B177">
        <v>151509675</v>
      </c>
      <c r="C177">
        <v>10000064</v>
      </c>
      <c r="D177" t="s">
        <v>27</v>
      </c>
      <c r="E177" t="s">
        <v>28</v>
      </c>
      <c r="F177">
        <v>348485</v>
      </c>
      <c r="G177">
        <v>5558560341</v>
      </c>
      <c r="H177">
        <v>25164802</v>
      </c>
      <c r="I177" t="s">
        <v>29</v>
      </c>
      <c r="K177" t="s">
        <v>30</v>
      </c>
      <c r="L177" t="s">
        <v>62</v>
      </c>
      <c r="M177">
        <v>262.99999998999999</v>
      </c>
      <c r="N177">
        <v>262.99999998999999</v>
      </c>
      <c r="O177">
        <v>0</v>
      </c>
      <c r="P177">
        <v>0</v>
      </c>
      <c r="Q177">
        <v>0</v>
      </c>
      <c r="R177">
        <v>262.99999998999999</v>
      </c>
      <c r="S177" t="s">
        <v>110</v>
      </c>
      <c r="T177" t="s">
        <v>38</v>
      </c>
      <c r="U177">
        <v>10000064</v>
      </c>
      <c r="Y177" t="s">
        <v>108</v>
      </c>
      <c r="Z177" t="s">
        <v>109</v>
      </c>
    </row>
    <row r="178" spans="1:26" x14ac:dyDescent="0.45">
      <c r="A178" t="s">
        <v>26</v>
      </c>
      <c r="B178">
        <v>151509706</v>
      </c>
      <c r="C178">
        <v>10000064</v>
      </c>
      <c r="D178" t="s">
        <v>27</v>
      </c>
      <c r="E178" t="s">
        <v>28</v>
      </c>
      <c r="F178">
        <v>352529</v>
      </c>
      <c r="G178">
        <v>5559106743</v>
      </c>
      <c r="H178">
        <v>25152520</v>
      </c>
      <c r="I178" t="s">
        <v>29</v>
      </c>
      <c r="K178" t="s">
        <v>30</v>
      </c>
      <c r="L178" t="s">
        <v>47</v>
      </c>
      <c r="M178">
        <v>262.99999998999999</v>
      </c>
      <c r="N178">
        <v>262.99999998999999</v>
      </c>
      <c r="O178">
        <v>0</v>
      </c>
      <c r="P178">
        <v>0</v>
      </c>
      <c r="Q178">
        <v>0</v>
      </c>
      <c r="R178">
        <v>262.99999998999999</v>
      </c>
      <c r="S178" t="s">
        <v>110</v>
      </c>
      <c r="T178" t="s">
        <v>38</v>
      </c>
      <c r="U178">
        <v>10000064</v>
      </c>
      <c r="Y178" t="s">
        <v>108</v>
      </c>
      <c r="Z178" t="s">
        <v>109</v>
      </c>
    </row>
    <row r="179" spans="1:26" x14ac:dyDescent="0.45">
      <c r="A179" t="s">
        <v>26</v>
      </c>
      <c r="B179">
        <v>151428281</v>
      </c>
      <c r="C179">
        <v>10001013</v>
      </c>
      <c r="D179" t="s">
        <v>27</v>
      </c>
      <c r="E179" t="s">
        <v>28</v>
      </c>
      <c r="F179">
        <v>345495</v>
      </c>
      <c r="G179">
        <v>5558598699</v>
      </c>
      <c r="H179">
        <v>23900873</v>
      </c>
      <c r="I179" t="s">
        <v>29</v>
      </c>
      <c r="K179" t="s">
        <v>30</v>
      </c>
      <c r="L179" t="s">
        <v>39</v>
      </c>
      <c r="M179">
        <v>13</v>
      </c>
      <c r="N179">
        <v>13</v>
      </c>
      <c r="O179">
        <v>0</v>
      </c>
      <c r="P179">
        <v>0</v>
      </c>
      <c r="Q179">
        <v>0</v>
      </c>
      <c r="R179">
        <v>13</v>
      </c>
      <c r="S179" t="s">
        <v>110</v>
      </c>
      <c r="T179" t="s">
        <v>111</v>
      </c>
      <c r="U179">
        <v>10001013</v>
      </c>
      <c r="Y179" t="s">
        <v>108</v>
      </c>
      <c r="Z179" t="s">
        <v>109</v>
      </c>
    </row>
    <row r="180" spans="1:26" x14ac:dyDescent="0.45">
      <c r="A180" t="s">
        <v>26</v>
      </c>
      <c r="B180">
        <v>151428315</v>
      </c>
      <c r="C180">
        <v>10001013</v>
      </c>
      <c r="D180" t="s">
        <v>27</v>
      </c>
      <c r="E180" t="s">
        <v>28</v>
      </c>
      <c r="F180">
        <v>345495</v>
      </c>
      <c r="G180">
        <v>5575829858</v>
      </c>
      <c r="H180">
        <v>23871005</v>
      </c>
      <c r="I180" t="s">
        <v>29</v>
      </c>
      <c r="K180" t="s">
        <v>30</v>
      </c>
      <c r="L180" t="s">
        <v>40</v>
      </c>
      <c r="M180">
        <v>9.6650000004999992</v>
      </c>
      <c r="N180">
        <v>13</v>
      </c>
      <c r="O180">
        <v>-3.33500000015</v>
      </c>
      <c r="P180">
        <v>0</v>
      </c>
      <c r="Q180">
        <v>0</v>
      </c>
      <c r="R180">
        <v>9.6650000004999992</v>
      </c>
      <c r="S180" t="s">
        <v>110</v>
      </c>
      <c r="T180" t="s">
        <v>107</v>
      </c>
      <c r="U180">
        <v>10001013</v>
      </c>
      <c r="Y180" t="s">
        <v>108</v>
      </c>
      <c r="Z180" t="s">
        <v>109</v>
      </c>
    </row>
    <row r="181" spans="1:26" x14ac:dyDescent="0.45">
      <c r="A181" t="s">
        <v>26</v>
      </c>
      <c r="B181">
        <v>151428390</v>
      </c>
      <c r="C181">
        <v>10001013</v>
      </c>
      <c r="D181" t="s">
        <v>27</v>
      </c>
      <c r="E181" t="s">
        <v>28</v>
      </c>
      <c r="F181">
        <v>345495</v>
      </c>
      <c r="G181">
        <v>5558409514</v>
      </c>
      <c r="H181">
        <v>23901523</v>
      </c>
      <c r="I181" t="s">
        <v>29</v>
      </c>
      <c r="K181" t="s">
        <v>30</v>
      </c>
      <c r="L181" t="s">
        <v>39</v>
      </c>
      <c r="M181">
        <v>13</v>
      </c>
      <c r="N181">
        <v>13</v>
      </c>
      <c r="O181">
        <v>0</v>
      </c>
      <c r="P181">
        <v>0</v>
      </c>
      <c r="Q181">
        <v>0</v>
      </c>
      <c r="R181">
        <v>13</v>
      </c>
      <c r="S181" t="s">
        <v>110</v>
      </c>
      <c r="T181" t="s">
        <v>111</v>
      </c>
      <c r="U181">
        <v>10001013</v>
      </c>
      <c r="Y181" t="s">
        <v>108</v>
      </c>
      <c r="Z181" t="s">
        <v>109</v>
      </c>
    </row>
    <row r="182" spans="1:26" x14ac:dyDescent="0.45">
      <c r="A182" t="s">
        <v>26</v>
      </c>
      <c r="B182">
        <v>151428398</v>
      </c>
      <c r="C182">
        <v>10001013</v>
      </c>
      <c r="D182" t="s">
        <v>27</v>
      </c>
      <c r="E182" t="s">
        <v>28</v>
      </c>
      <c r="F182">
        <v>348467</v>
      </c>
      <c r="G182">
        <v>5558434222</v>
      </c>
      <c r="H182">
        <v>23901714</v>
      </c>
      <c r="I182" t="s">
        <v>29</v>
      </c>
      <c r="K182" t="s">
        <v>30</v>
      </c>
      <c r="L182" t="s">
        <v>39</v>
      </c>
      <c r="M182">
        <v>13</v>
      </c>
      <c r="N182">
        <v>13</v>
      </c>
      <c r="O182">
        <v>0</v>
      </c>
      <c r="P182">
        <v>0</v>
      </c>
      <c r="Q182">
        <v>0</v>
      </c>
      <c r="R182">
        <v>13</v>
      </c>
      <c r="S182" t="s">
        <v>110</v>
      </c>
      <c r="T182" t="s">
        <v>111</v>
      </c>
      <c r="U182">
        <v>10001013</v>
      </c>
      <c r="Y182" t="s">
        <v>108</v>
      </c>
      <c r="Z182" t="s">
        <v>109</v>
      </c>
    </row>
    <row r="183" spans="1:26" x14ac:dyDescent="0.45">
      <c r="A183" t="s">
        <v>26</v>
      </c>
      <c r="B183">
        <v>151428449</v>
      </c>
      <c r="C183">
        <v>10000064</v>
      </c>
      <c r="D183" t="s">
        <v>27</v>
      </c>
      <c r="E183" t="s">
        <v>28</v>
      </c>
      <c r="F183">
        <v>348485</v>
      </c>
      <c r="G183">
        <v>5552760252</v>
      </c>
      <c r="H183">
        <v>23872387</v>
      </c>
      <c r="I183" t="s">
        <v>29</v>
      </c>
      <c r="K183" t="s">
        <v>30</v>
      </c>
      <c r="L183" t="s">
        <v>36</v>
      </c>
      <c r="M183">
        <v>13</v>
      </c>
      <c r="N183">
        <v>13</v>
      </c>
      <c r="O183">
        <v>0</v>
      </c>
      <c r="P183">
        <v>0</v>
      </c>
      <c r="Q183">
        <v>0</v>
      </c>
      <c r="R183">
        <v>13</v>
      </c>
      <c r="S183" t="s">
        <v>110</v>
      </c>
      <c r="T183" t="s">
        <v>111</v>
      </c>
      <c r="U183">
        <v>10000064</v>
      </c>
      <c r="Y183" t="s">
        <v>108</v>
      </c>
      <c r="Z183" t="s">
        <v>109</v>
      </c>
    </row>
    <row r="184" spans="1:26" x14ac:dyDescent="0.45">
      <c r="A184" t="s">
        <v>26</v>
      </c>
      <c r="B184">
        <v>151432596</v>
      </c>
      <c r="C184">
        <v>10000064</v>
      </c>
      <c r="D184" t="s">
        <v>27</v>
      </c>
      <c r="E184" t="s">
        <v>28</v>
      </c>
      <c r="F184">
        <v>346072</v>
      </c>
      <c r="G184">
        <v>5529243850</v>
      </c>
      <c r="H184">
        <v>23953054</v>
      </c>
      <c r="I184" t="s">
        <v>29</v>
      </c>
      <c r="K184" t="s">
        <v>30</v>
      </c>
      <c r="L184" t="s">
        <v>39</v>
      </c>
      <c r="M184">
        <v>9.6650000004999992</v>
      </c>
      <c r="N184">
        <v>13</v>
      </c>
      <c r="O184">
        <v>-3.33500000015</v>
      </c>
      <c r="P184">
        <v>0</v>
      </c>
      <c r="Q184">
        <v>0</v>
      </c>
      <c r="R184">
        <v>9.6650000004999992</v>
      </c>
      <c r="S184" t="s">
        <v>110</v>
      </c>
      <c r="T184" t="s">
        <v>107</v>
      </c>
      <c r="U184">
        <v>10000064</v>
      </c>
      <c r="Y184" t="s">
        <v>108</v>
      </c>
      <c r="Z184" t="s">
        <v>109</v>
      </c>
    </row>
    <row r="185" spans="1:26" x14ac:dyDescent="0.45">
      <c r="A185" t="s">
        <v>26</v>
      </c>
      <c r="B185">
        <v>151432662</v>
      </c>
      <c r="C185">
        <v>10000064</v>
      </c>
      <c r="D185" t="s">
        <v>27</v>
      </c>
      <c r="E185" t="s">
        <v>28</v>
      </c>
      <c r="F185">
        <v>346072</v>
      </c>
      <c r="G185">
        <v>5550854335</v>
      </c>
      <c r="H185">
        <v>23947687</v>
      </c>
      <c r="I185" t="s">
        <v>29</v>
      </c>
      <c r="K185" t="s">
        <v>30</v>
      </c>
      <c r="L185" t="s">
        <v>42</v>
      </c>
      <c r="M185">
        <v>13</v>
      </c>
      <c r="N185">
        <v>13</v>
      </c>
      <c r="O185">
        <v>0</v>
      </c>
      <c r="P185">
        <v>0</v>
      </c>
      <c r="Q185">
        <v>0</v>
      </c>
      <c r="R185">
        <v>13</v>
      </c>
      <c r="S185" t="s">
        <v>112</v>
      </c>
      <c r="T185" t="s">
        <v>111</v>
      </c>
      <c r="U185">
        <v>10000064</v>
      </c>
      <c r="Y185" t="s">
        <v>108</v>
      </c>
      <c r="Z185" t="s">
        <v>109</v>
      </c>
    </row>
    <row r="186" spans="1:26" x14ac:dyDescent="0.45">
      <c r="A186" t="s">
        <v>26</v>
      </c>
      <c r="B186">
        <v>151433451</v>
      </c>
      <c r="C186">
        <v>10001013</v>
      </c>
      <c r="D186" t="s">
        <v>27</v>
      </c>
      <c r="E186" t="s">
        <v>28</v>
      </c>
      <c r="F186">
        <v>348467</v>
      </c>
      <c r="G186">
        <v>5558635589</v>
      </c>
      <c r="H186">
        <v>23999401</v>
      </c>
      <c r="I186" t="s">
        <v>29</v>
      </c>
      <c r="K186" t="s">
        <v>30</v>
      </c>
      <c r="L186" t="s">
        <v>39</v>
      </c>
      <c r="M186">
        <v>13</v>
      </c>
      <c r="N186">
        <v>13</v>
      </c>
      <c r="O186">
        <v>0</v>
      </c>
      <c r="P186">
        <v>0</v>
      </c>
      <c r="Q186">
        <v>0</v>
      </c>
      <c r="R186">
        <v>13</v>
      </c>
      <c r="S186" t="s">
        <v>113</v>
      </c>
      <c r="T186" t="s">
        <v>111</v>
      </c>
      <c r="U186">
        <v>10001013</v>
      </c>
      <c r="Y186" t="s">
        <v>108</v>
      </c>
      <c r="Z186" t="s">
        <v>109</v>
      </c>
    </row>
    <row r="187" spans="1:26" x14ac:dyDescent="0.45">
      <c r="A187" t="s">
        <v>26</v>
      </c>
      <c r="B187">
        <v>151436375</v>
      </c>
      <c r="C187">
        <v>10000064</v>
      </c>
      <c r="D187" t="s">
        <v>27</v>
      </c>
      <c r="E187" t="s">
        <v>28</v>
      </c>
      <c r="F187">
        <v>352529</v>
      </c>
      <c r="G187">
        <v>5558591014</v>
      </c>
      <c r="H187">
        <v>23983232</v>
      </c>
      <c r="I187" t="s">
        <v>29</v>
      </c>
      <c r="K187" t="s">
        <v>30</v>
      </c>
      <c r="L187" t="s">
        <v>39</v>
      </c>
      <c r="M187">
        <v>13</v>
      </c>
      <c r="N187">
        <v>13</v>
      </c>
      <c r="O187">
        <v>0</v>
      </c>
      <c r="P187">
        <v>0</v>
      </c>
      <c r="Q187">
        <v>0</v>
      </c>
      <c r="R187">
        <v>13</v>
      </c>
      <c r="S187" t="s">
        <v>110</v>
      </c>
      <c r="T187" t="s">
        <v>111</v>
      </c>
      <c r="U187">
        <v>10000064</v>
      </c>
      <c r="Y187" t="s">
        <v>108</v>
      </c>
      <c r="Z187" t="s">
        <v>109</v>
      </c>
    </row>
    <row r="188" spans="1:26" x14ac:dyDescent="0.45">
      <c r="A188" t="s">
        <v>26</v>
      </c>
      <c r="B188">
        <v>151509658</v>
      </c>
      <c r="C188">
        <v>10000064</v>
      </c>
      <c r="D188" t="s">
        <v>27</v>
      </c>
      <c r="E188" t="s">
        <v>28</v>
      </c>
      <c r="F188">
        <v>348485</v>
      </c>
      <c r="G188">
        <v>5553746530</v>
      </c>
      <c r="H188">
        <v>25152448</v>
      </c>
      <c r="I188" t="s">
        <v>29</v>
      </c>
      <c r="K188" t="s">
        <v>30</v>
      </c>
      <c r="L188" t="s">
        <v>42</v>
      </c>
      <c r="M188">
        <v>262.99999998999999</v>
      </c>
      <c r="N188">
        <v>262.99999998999999</v>
      </c>
      <c r="O188">
        <v>0</v>
      </c>
      <c r="P188">
        <v>0</v>
      </c>
      <c r="Q188">
        <v>0</v>
      </c>
      <c r="R188">
        <v>262.99999998999999</v>
      </c>
      <c r="S188" t="s">
        <v>110</v>
      </c>
      <c r="T188" t="s">
        <v>38</v>
      </c>
      <c r="U188">
        <v>10000064</v>
      </c>
      <c r="Y188" t="s">
        <v>108</v>
      </c>
      <c r="Z188" t="s">
        <v>109</v>
      </c>
    </row>
    <row r="189" spans="1:26" x14ac:dyDescent="0.45">
      <c r="A189" t="s">
        <v>26</v>
      </c>
      <c r="B189">
        <v>151437088</v>
      </c>
      <c r="C189">
        <v>10000064</v>
      </c>
      <c r="D189" t="s">
        <v>27</v>
      </c>
      <c r="E189" t="s">
        <v>28</v>
      </c>
      <c r="F189">
        <v>346072</v>
      </c>
      <c r="G189">
        <v>5556412654</v>
      </c>
      <c r="H189">
        <v>24011181</v>
      </c>
      <c r="I189" t="s">
        <v>29</v>
      </c>
      <c r="K189" t="s">
        <v>30</v>
      </c>
      <c r="L189" t="s">
        <v>42</v>
      </c>
      <c r="M189">
        <v>13</v>
      </c>
      <c r="N189">
        <v>13</v>
      </c>
      <c r="O189">
        <v>0</v>
      </c>
      <c r="P189">
        <v>0</v>
      </c>
      <c r="Q189">
        <v>0</v>
      </c>
      <c r="R189">
        <v>13</v>
      </c>
      <c r="S189" t="s">
        <v>110</v>
      </c>
      <c r="T189" t="s">
        <v>111</v>
      </c>
      <c r="U189">
        <v>10000064</v>
      </c>
      <c r="Y189" t="s">
        <v>108</v>
      </c>
      <c r="Z189" t="s">
        <v>109</v>
      </c>
    </row>
    <row r="190" spans="1:26" x14ac:dyDescent="0.45">
      <c r="A190" t="s">
        <v>26</v>
      </c>
      <c r="B190">
        <v>151437536</v>
      </c>
      <c r="C190">
        <v>10000064</v>
      </c>
      <c r="D190" t="s">
        <v>27</v>
      </c>
      <c r="E190" t="s">
        <v>28</v>
      </c>
      <c r="F190">
        <v>348485</v>
      </c>
      <c r="G190">
        <v>5516734333</v>
      </c>
      <c r="H190">
        <v>23999326</v>
      </c>
      <c r="I190" t="s">
        <v>29</v>
      </c>
      <c r="K190" t="s">
        <v>30</v>
      </c>
      <c r="L190" t="s">
        <v>36</v>
      </c>
      <c r="M190">
        <v>9.6650000004999992</v>
      </c>
      <c r="N190">
        <v>13</v>
      </c>
      <c r="O190">
        <v>-3.33500000015</v>
      </c>
      <c r="P190">
        <v>0</v>
      </c>
      <c r="Q190">
        <v>0</v>
      </c>
      <c r="R190">
        <v>9.6650000004999992</v>
      </c>
      <c r="S190" t="s">
        <v>114</v>
      </c>
      <c r="T190" t="s">
        <v>107</v>
      </c>
      <c r="U190">
        <v>10000064</v>
      </c>
      <c r="Y190" t="s">
        <v>108</v>
      </c>
      <c r="Z190" t="s">
        <v>109</v>
      </c>
    </row>
    <row r="191" spans="1:26" x14ac:dyDescent="0.45">
      <c r="A191" t="s">
        <v>26</v>
      </c>
      <c r="B191">
        <v>151437578</v>
      </c>
      <c r="C191">
        <v>10000064</v>
      </c>
      <c r="D191" t="s">
        <v>27</v>
      </c>
      <c r="E191" t="s">
        <v>28</v>
      </c>
      <c r="F191">
        <v>348485</v>
      </c>
      <c r="G191">
        <v>5556538598</v>
      </c>
      <c r="H191">
        <v>24022053</v>
      </c>
      <c r="I191" t="s">
        <v>29</v>
      </c>
      <c r="K191" t="s">
        <v>30</v>
      </c>
      <c r="L191" t="s">
        <v>42</v>
      </c>
      <c r="M191">
        <v>13</v>
      </c>
      <c r="N191">
        <v>13</v>
      </c>
      <c r="O191">
        <v>0</v>
      </c>
      <c r="P191">
        <v>0</v>
      </c>
      <c r="Q191">
        <v>0</v>
      </c>
      <c r="R191">
        <v>13</v>
      </c>
      <c r="S191" t="s">
        <v>110</v>
      </c>
      <c r="T191" t="s">
        <v>111</v>
      </c>
      <c r="U191">
        <v>10000064</v>
      </c>
      <c r="Y191" t="s">
        <v>108</v>
      </c>
      <c r="Z191" t="s">
        <v>109</v>
      </c>
    </row>
    <row r="192" spans="1:26" x14ac:dyDescent="0.45">
      <c r="A192" t="s">
        <v>26</v>
      </c>
      <c r="B192">
        <v>151438772</v>
      </c>
      <c r="C192">
        <v>10001013</v>
      </c>
      <c r="D192" t="s">
        <v>27</v>
      </c>
      <c r="E192" t="s">
        <v>28</v>
      </c>
      <c r="F192">
        <v>348467</v>
      </c>
      <c r="G192">
        <v>5511049544</v>
      </c>
      <c r="H192">
        <v>24059074</v>
      </c>
      <c r="I192" t="s">
        <v>29</v>
      </c>
      <c r="K192" t="s">
        <v>30</v>
      </c>
      <c r="L192" t="s">
        <v>40</v>
      </c>
      <c r="M192">
        <v>9.6650000004999992</v>
      </c>
      <c r="N192">
        <v>13</v>
      </c>
      <c r="O192">
        <v>-3.33500000015</v>
      </c>
      <c r="P192">
        <v>0</v>
      </c>
      <c r="Q192">
        <v>0</v>
      </c>
      <c r="R192">
        <v>9.6650000004999992</v>
      </c>
      <c r="S192" t="s">
        <v>110</v>
      </c>
      <c r="T192" t="s">
        <v>107</v>
      </c>
      <c r="U192">
        <v>10001013</v>
      </c>
      <c r="Y192" t="s">
        <v>108</v>
      </c>
      <c r="Z192" t="s">
        <v>109</v>
      </c>
    </row>
    <row r="193" spans="1:26" x14ac:dyDescent="0.45">
      <c r="A193" t="s">
        <v>26</v>
      </c>
      <c r="B193">
        <v>151440346</v>
      </c>
      <c r="C193">
        <v>10000064</v>
      </c>
      <c r="D193" t="s">
        <v>27</v>
      </c>
      <c r="E193" t="s">
        <v>28</v>
      </c>
      <c r="F193">
        <v>346072</v>
      </c>
      <c r="G193">
        <v>5556452722</v>
      </c>
      <c r="H193">
        <v>24022468</v>
      </c>
      <c r="I193" t="s">
        <v>29</v>
      </c>
      <c r="K193" t="s">
        <v>30</v>
      </c>
      <c r="L193" t="s">
        <v>42</v>
      </c>
      <c r="M193">
        <v>13</v>
      </c>
      <c r="N193">
        <v>13</v>
      </c>
      <c r="O193">
        <v>0</v>
      </c>
      <c r="P193">
        <v>0</v>
      </c>
      <c r="Q193">
        <v>0</v>
      </c>
      <c r="R193">
        <v>13</v>
      </c>
      <c r="S193" t="s">
        <v>115</v>
      </c>
      <c r="T193" t="s">
        <v>111</v>
      </c>
      <c r="U193">
        <v>10000064</v>
      </c>
      <c r="Y193" t="s">
        <v>108</v>
      </c>
      <c r="Z193" t="s">
        <v>109</v>
      </c>
    </row>
    <row r="194" spans="1:26" x14ac:dyDescent="0.45">
      <c r="A194" t="s">
        <v>26</v>
      </c>
      <c r="B194">
        <v>151440349</v>
      </c>
      <c r="C194">
        <v>10001013</v>
      </c>
      <c r="D194" t="s">
        <v>27</v>
      </c>
      <c r="E194" t="s">
        <v>28</v>
      </c>
      <c r="F194">
        <v>348467</v>
      </c>
      <c r="G194">
        <v>5576022147</v>
      </c>
      <c r="H194">
        <v>24022634</v>
      </c>
      <c r="I194" t="s">
        <v>29</v>
      </c>
      <c r="K194" t="s">
        <v>30</v>
      </c>
      <c r="L194" t="s">
        <v>40</v>
      </c>
      <c r="M194">
        <v>-7.0000000005</v>
      </c>
      <c r="N194">
        <v>13</v>
      </c>
      <c r="O194">
        <v>-20.000000000499998</v>
      </c>
      <c r="P194">
        <v>0</v>
      </c>
      <c r="Q194">
        <v>0</v>
      </c>
      <c r="R194">
        <v>-7.0000000005</v>
      </c>
      <c r="S194" t="s">
        <v>110</v>
      </c>
      <c r="T194" t="s">
        <v>107</v>
      </c>
      <c r="U194">
        <v>10001013</v>
      </c>
      <c r="Y194" t="s">
        <v>108</v>
      </c>
      <c r="Z194" t="s">
        <v>109</v>
      </c>
    </row>
    <row r="195" spans="1:26" x14ac:dyDescent="0.45">
      <c r="A195" t="s">
        <v>26</v>
      </c>
      <c r="B195">
        <v>151440354</v>
      </c>
      <c r="C195">
        <v>10000064</v>
      </c>
      <c r="D195" t="s">
        <v>27</v>
      </c>
      <c r="E195" t="s">
        <v>28</v>
      </c>
      <c r="F195">
        <v>346072</v>
      </c>
      <c r="G195">
        <v>5521567091</v>
      </c>
      <c r="H195">
        <v>24023004</v>
      </c>
      <c r="I195" t="s">
        <v>29</v>
      </c>
      <c r="K195" t="s">
        <v>30</v>
      </c>
      <c r="L195" t="s">
        <v>39</v>
      </c>
      <c r="M195">
        <v>13</v>
      </c>
      <c r="N195">
        <v>13</v>
      </c>
      <c r="O195">
        <v>0</v>
      </c>
      <c r="P195">
        <v>0</v>
      </c>
      <c r="Q195">
        <v>0</v>
      </c>
      <c r="R195">
        <v>13</v>
      </c>
      <c r="S195" t="s">
        <v>110</v>
      </c>
      <c r="T195" t="s">
        <v>111</v>
      </c>
      <c r="U195">
        <v>10000064</v>
      </c>
      <c r="Y195" t="s">
        <v>108</v>
      </c>
      <c r="Z195" t="s">
        <v>109</v>
      </c>
    </row>
    <row r="196" spans="1:26" x14ac:dyDescent="0.45">
      <c r="A196" t="s">
        <v>26</v>
      </c>
      <c r="B196">
        <v>151440375</v>
      </c>
      <c r="C196">
        <v>10001013</v>
      </c>
      <c r="D196" t="s">
        <v>27</v>
      </c>
      <c r="E196" t="s">
        <v>28</v>
      </c>
      <c r="F196">
        <v>348467</v>
      </c>
      <c r="G196">
        <v>5556184940</v>
      </c>
      <c r="H196">
        <v>24022834</v>
      </c>
      <c r="I196" t="s">
        <v>29</v>
      </c>
      <c r="K196" t="s">
        <v>30</v>
      </c>
      <c r="L196" t="s">
        <v>42</v>
      </c>
      <c r="M196">
        <v>13</v>
      </c>
      <c r="N196">
        <v>13</v>
      </c>
      <c r="O196">
        <v>0</v>
      </c>
      <c r="P196">
        <v>0</v>
      </c>
      <c r="Q196">
        <v>0</v>
      </c>
      <c r="R196">
        <v>13</v>
      </c>
      <c r="S196" t="s">
        <v>115</v>
      </c>
      <c r="T196" t="s">
        <v>111</v>
      </c>
      <c r="U196">
        <v>10001013</v>
      </c>
      <c r="Y196" t="s">
        <v>108</v>
      </c>
      <c r="Z196" t="s">
        <v>109</v>
      </c>
    </row>
    <row r="197" spans="1:26" x14ac:dyDescent="0.45">
      <c r="A197" t="s">
        <v>26</v>
      </c>
      <c r="B197">
        <v>151440766</v>
      </c>
      <c r="C197">
        <v>10000064</v>
      </c>
      <c r="D197" t="s">
        <v>27</v>
      </c>
      <c r="E197" t="s">
        <v>28</v>
      </c>
      <c r="F197">
        <v>346072</v>
      </c>
      <c r="G197">
        <v>5556760187</v>
      </c>
      <c r="H197">
        <v>24030661</v>
      </c>
      <c r="I197" t="s">
        <v>29</v>
      </c>
      <c r="K197" t="s">
        <v>30</v>
      </c>
      <c r="L197" t="s">
        <v>42</v>
      </c>
      <c r="M197">
        <v>13</v>
      </c>
      <c r="N197">
        <v>13</v>
      </c>
      <c r="O197">
        <v>0</v>
      </c>
      <c r="P197">
        <v>0</v>
      </c>
      <c r="Q197">
        <v>0</v>
      </c>
      <c r="R197">
        <v>13</v>
      </c>
      <c r="S197" t="s">
        <v>115</v>
      </c>
      <c r="T197" t="s">
        <v>111</v>
      </c>
      <c r="U197">
        <v>10000064</v>
      </c>
      <c r="Y197" t="s">
        <v>108</v>
      </c>
      <c r="Z197" t="s">
        <v>109</v>
      </c>
    </row>
    <row r="198" spans="1:26" x14ac:dyDescent="0.45">
      <c r="A198" t="s">
        <v>26</v>
      </c>
      <c r="B198">
        <v>151440807</v>
      </c>
      <c r="C198">
        <v>10000064</v>
      </c>
      <c r="D198" t="s">
        <v>27</v>
      </c>
      <c r="E198" t="s">
        <v>28</v>
      </c>
      <c r="F198">
        <v>348485</v>
      </c>
      <c r="G198">
        <v>5521571022</v>
      </c>
      <c r="H198">
        <v>24030778</v>
      </c>
      <c r="I198" t="s">
        <v>29</v>
      </c>
      <c r="K198" t="s">
        <v>30</v>
      </c>
      <c r="L198" t="s">
        <v>42</v>
      </c>
      <c r="M198">
        <v>9.6650000004999992</v>
      </c>
      <c r="N198">
        <v>13</v>
      </c>
      <c r="O198">
        <v>-3.33500000015</v>
      </c>
      <c r="P198">
        <v>0</v>
      </c>
      <c r="Q198">
        <v>0</v>
      </c>
      <c r="R198">
        <v>9.6650000004999992</v>
      </c>
      <c r="S198" t="s">
        <v>115</v>
      </c>
      <c r="T198" t="s">
        <v>107</v>
      </c>
      <c r="U198">
        <v>10000064</v>
      </c>
      <c r="Y198" t="s">
        <v>108</v>
      </c>
      <c r="Z198" t="s">
        <v>109</v>
      </c>
    </row>
    <row r="199" spans="1:26" x14ac:dyDescent="0.45">
      <c r="A199" t="s">
        <v>26</v>
      </c>
      <c r="B199">
        <v>151409785</v>
      </c>
      <c r="C199">
        <v>10001013</v>
      </c>
      <c r="D199" t="s">
        <v>27</v>
      </c>
      <c r="E199" t="s">
        <v>28</v>
      </c>
      <c r="F199">
        <v>351715</v>
      </c>
      <c r="G199">
        <v>5521565309</v>
      </c>
      <c r="H199">
        <v>23332352</v>
      </c>
      <c r="I199" t="s">
        <v>29</v>
      </c>
      <c r="K199" t="s">
        <v>30</v>
      </c>
      <c r="L199" t="s">
        <v>42</v>
      </c>
      <c r="M199">
        <v>9.6650000004999992</v>
      </c>
      <c r="N199">
        <v>13</v>
      </c>
      <c r="O199">
        <v>-3.33500000015</v>
      </c>
      <c r="P199">
        <v>0</v>
      </c>
      <c r="Q199">
        <v>0</v>
      </c>
      <c r="R199">
        <v>9.6650000004999992</v>
      </c>
      <c r="S199" t="s">
        <v>114</v>
      </c>
      <c r="T199" t="s">
        <v>107</v>
      </c>
      <c r="U199">
        <v>10001013</v>
      </c>
      <c r="Y199" t="s">
        <v>108</v>
      </c>
      <c r="Z199" t="s">
        <v>109</v>
      </c>
    </row>
    <row r="200" spans="1:26" x14ac:dyDescent="0.45">
      <c r="A200" t="s">
        <v>26</v>
      </c>
      <c r="B200">
        <v>5726560</v>
      </c>
      <c r="C200">
        <v>10000064</v>
      </c>
      <c r="D200" t="s">
        <v>27</v>
      </c>
      <c r="E200" t="s">
        <v>28</v>
      </c>
      <c r="F200">
        <v>346072</v>
      </c>
      <c r="G200">
        <v>6646463041</v>
      </c>
      <c r="H200">
        <v>31414235</v>
      </c>
      <c r="I200" t="s">
        <v>29</v>
      </c>
      <c r="K200" t="s">
        <v>84</v>
      </c>
      <c r="L200" t="s">
        <v>85</v>
      </c>
      <c r="M200">
        <v>13</v>
      </c>
      <c r="N200">
        <v>13</v>
      </c>
      <c r="O200">
        <v>0</v>
      </c>
      <c r="P200">
        <v>0</v>
      </c>
      <c r="Q200">
        <v>0</v>
      </c>
      <c r="R200">
        <v>13</v>
      </c>
      <c r="S200" t="s">
        <v>110</v>
      </c>
      <c r="T200" t="s">
        <v>111</v>
      </c>
      <c r="U200">
        <v>10000064</v>
      </c>
      <c r="Y200" t="s">
        <v>108</v>
      </c>
      <c r="Z200" t="s">
        <v>109</v>
      </c>
    </row>
    <row r="201" spans="1:26" x14ac:dyDescent="0.45">
      <c r="A201" t="s">
        <v>26</v>
      </c>
      <c r="B201">
        <v>151355829</v>
      </c>
      <c r="C201">
        <v>10001013</v>
      </c>
      <c r="D201" t="s">
        <v>27</v>
      </c>
      <c r="E201" t="s">
        <v>28</v>
      </c>
      <c r="F201">
        <v>348467</v>
      </c>
      <c r="G201">
        <v>5556458483</v>
      </c>
      <c r="H201">
        <v>22417743</v>
      </c>
      <c r="I201" t="s">
        <v>29</v>
      </c>
      <c r="K201" t="s">
        <v>30</v>
      </c>
      <c r="L201" t="s">
        <v>42</v>
      </c>
      <c r="M201">
        <v>13</v>
      </c>
      <c r="N201">
        <v>13</v>
      </c>
      <c r="O201">
        <v>0</v>
      </c>
      <c r="P201">
        <v>0</v>
      </c>
      <c r="Q201">
        <v>0</v>
      </c>
      <c r="R201">
        <v>13</v>
      </c>
      <c r="S201" t="s">
        <v>110</v>
      </c>
      <c r="T201" t="s">
        <v>111</v>
      </c>
      <c r="U201">
        <v>10001013</v>
      </c>
      <c r="Y201" t="s">
        <v>108</v>
      </c>
      <c r="Z201" t="s">
        <v>109</v>
      </c>
    </row>
    <row r="202" spans="1:26" x14ac:dyDescent="0.45">
      <c r="A202" t="s">
        <v>26</v>
      </c>
      <c r="B202">
        <v>151358128</v>
      </c>
      <c r="C202">
        <v>10000064</v>
      </c>
      <c r="D202" t="s">
        <v>27</v>
      </c>
      <c r="E202" t="s">
        <v>28</v>
      </c>
      <c r="F202">
        <v>348485</v>
      </c>
      <c r="G202">
        <v>5557253854</v>
      </c>
      <c r="H202">
        <v>22433781</v>
      </c>
      <c r="I202" t="s">
        <v>29</v>
      </c>
      <c r="K202" t="s">
        <v>30</v>
      </c>
      <c r="L202" t="s">
        <v>61</v>
      </c>
      <c r="M202">
        <v>49.999999998</v>
      </c>
      <c r="N202">
        <v>0</v>
      </c>
      <c r="O202">
        <v>49.999999998</v>
      </c>
      <c r="P202">
        <v>0</v>
      </c>
      <c r="Q202">
        <v>0</v>
      </c>
      <c r="R202">
        <v>49.999999998</v>
      </c>
      <c r="S202" t="s">
        <v>116</v>
      </c>
      <c r="T202" t="s">
        <v>69</v>
      </c>
      <c r="U202">
        <v>10000064</v>
      </c>
      <c r="Y202" t="s">
        <v>108</v>
      </c>
      <c r="Z202" t="s">
        <v>109</v>
      </c>
    </row>
    <row r="203" spans="1:26" x14ac:dyDescent="0.45">
      <c r="A203" t="s">
        <v>26</v>
      </c>
      <c r="B203">
        <v>151358405</v>
      </c>
      <c r="C203">
        <v>10001013</v>
      </c>
      <c r="D203" t="s">
        <v>27</v>
      </c>
      <c r="E203" t="s">
        <v>28</v>
      </c>
      <c r="F203">
        <v>345495</v>
      </c>
      <c r="G203">
        <v>5558621152</v>
      </c>
      <c r="H203">
        <v>22437453</v>
      </c>
      <c r="I203" t="s">
        <v>29</v>
      </c>
      <c r="K203" t="s">
        <v>30</v>
      </c>
      <c r="L203" t="s">
        <v>39</v>
      </c>
      <c r="M203">
        <v>-7.0000000005</v>
      </c>
      <c r="N203">
        <v>13</v>
      </c>
      <c r="O203">
        <v>-20.000000000499998</v>
      </c>
      <c r="P203">
        <v>0</v>
      </c>
      <c r="Q203">
        <v>0</v>
      </c>
      <c r="R203">
        <v>-7.0000000005</v>
      </c>
      <c r="S203" t="s">
        <v>110</v>
      </c>
      <c r="T203" t="s">
        <v>107</v>
      </c>
      <c r="U203">
        <v>10001013</v>
      </c>
      <c r="Y203" t="s">
        <v>108</v>
      </c>
      <c r="Z203" t="s">
        <v>109</v>
      </c>
    </row>
    <row r="204" spans="1:26" x14ac:dyDescent="0.45">
      <c r="A204" t="s">
        <v>26</v>
      </c>
      <c r="B204">
        <v>151394823</v>
      </c>
      <c r="C204">
        <v>10000064</v>
      </c>
      <c r="D204" t="s">
        <v>27</v>
      </c>
      <c r="E204" t="s">
        <v>28</v>
      </c>
      <c r="F204">
        <v>348485</v>
      </c>
      <c r="G204">
        <v>5521565210</v>
      </c>
      <c r="H204">
        <v>23350105</v>
      </c>
      <c r="I204" t="s">
        <v>29</v>
      </c>
      <c r="K204" t="s">
        <v>30</v>
      </c>
      <c r="L204" t="s">
        <v>40</v>
      </c>
      <c r="M204">
        <v>13</v>
      </c>
      <c r="N204">
        <v>13</v>
      </c>
      <c r="O204">
        <v>0</v>
      </c>
      <c r="P204">
        <v>0</v>
      </c>
      <c r="Q204">
        <v>0</v>
      </c>
      <c r="R204">
        <v>13</v>
      </c>
      <c r="S204" t="s">
        <v>110</v>
      </c>
      <c r="T204" t="s">
        <v>111</v>
      </c>
      <c r="U204">
        <v>10000064</v>
      </c>
      <c r="Y204" t="s">
        <v>108</v>
      </c>
      <c r="Z204" t="s">
        <v>109</v>
      </c>
    </row>
    <row r="205" spans="1:26" x14ac:dyDescent="0.45">
      <c r="A205" t="s">
        <v>26</v>
      </c>
      <c r="B205">
        <v>151399011</v>
      </c>
      <c r="C205">
        <v>10001013</v>
      </c>
      <c r="D205" t="s">
        <v>27</v>
      </c>
      <c r="E205" t="s">
        <v>28</v>
      </c>
      <c r="F205">
        <v>350677</v>
      </c>
      <c r="G205">
        <v>5596367938</v>
      </c>
      <c r="H205">
        <v>22953598</v>
      </c>
      <c r="I205" t="s">
        <v>29</v>
      </c>
      <c r="K205" t="s">
        <v>30</v>
      </c>
      <c r="L205" t="s">
        <v>40</v>
      </c>
      <c r="M205">
        <v>9.6650000004999992</v>
      </c>
      <c r="N205">
        <v>13</v>
      </c>
      <c r="O205">
        <v>-3.33500000015</v>
      </c>
      <c r="P205">
        <v>0</v>
      </c>
      <c r="Q205">
        <v>0</v>
      </c>
      <c r="R205">
        <v>9.6650000004999992</v>
      </c>
      <c r="S205" t="s">
        <v>110</v>
      </c>
      <c r="T205" t="s">
        <v>107</v>
      </c>
      <c r="U205">
        <v>10001013</v>
      </c>
      <c r="Y205" t="s">
        <v>108</v>
      </c>
      <c r="Z205" t="s">
        <v>109</v>
      </c>
    </row>
    <row r="206" spans="1:26" x14ac:dyDescent="0.45">
      <c r="A206" t="s">
        <v>26</v>
      </c>
      <c r="B206">
        <v>151399114</v>
      </c>
      <c r="C206">
        <v>10000064</v>
      </c>
      <c r="D206" t="s">
        <v>27</v>
      </c>
      <c r="E206" t="s">
        <v>28</v>
      </c>
      <c r="F206">
        <v>351037</v>
      </c>
      <c r="G206">
        <v>5511137309</v>
      </c>
      <c r="H206">
        <v>22954058</v>
      </c>
      <c r="I206" t="s">
        <v>29</v>
      </c>
      <c r="K206" t="s">
        <v>30</v>
      </c>
      <c r="L206" t="s">
        <v>42</v>
      </c>
      <c r="M206">
        <v>13</v>
      </c>
      <c r="N206">
        <v>13</v>
      </c>
      <c r="O206">
        <v>0</v>
      </c>
      <c r="P206">
        <v>0</v>
      </c>
      <c r="Q206">
        <v>0</v>
      </c>
      <c r="R206">
        <v>13</v>
      </c>
      <c r="S206" t="s">
        <v>115</v>
      </c>
      <c r="T206" t="s">
        <v>111</v>
      </c>
      <c r="U206">
        <v>10000064</v>
      </c>
      <c r="Y206" t="s">
        <v>108</v>
      </c>
      <c r="Z206" t="s">
        <v>109</v>
      </c>
    </row>
    <row r="207" spans="1:26" x14ac:dyDescent="0.45">
      <c r="A207" t="s">
        <v>26</v>
      </c>
      <c r="B207">
        <v>151401720</v>
      </c>
      <c r="C207">
        <v>10000064</v>
      </c>
      <c r="D207" t="s">
        <v>27</v>
      </c>
      <c r="E207" t="s">
        <v>28</v>
      </c>
      <c r="F207">
        <v>351040</v>
      </c>
      <c r="G207">
        <v>5526157909</v>
      </c>
      <c r="H207">
        <v>22996125</v>
      </c>
      <c r="I207" t="s">
        <v>29</v>
      </c>
      <c r="K207" t="s">
        <v>30</v>
      </c>
      <c r="L207" t="s">
        <v>42</v>
      </c>
      <c r="M207">
        <v>9.6650000004999992</v>
      </c>
      <c r="N207">
        <v>13</v>
      </c>
      <c r="O207">
        <v>-3.33500000015</v>
      </c>
      <c r="P207">
        <v>0</v>
      </c>
      <c r="Q207">
        <v>0</v>
      </c>
      <c r="R207">
        <v>9.6650000004999992</v>
      </c>
      <c r="S207" t="s">
        <v>115</v>
      </c>
      <c r="T207" t="s">
        <v>107</v>
      </c>
      <c r="U207">
        <v>10000064</v>
      </c>
      <c r="Y207" t="s">
        <v>108</v>
      </c>
      <c r="Z207" t="s">
        <v>109</v>
      </c>
    </row>
    <row r="208" spans="1:26" x14ac:dyDescent="0.45">
      <c r="A208" t="s">
        <v>26</v>
      </c>
      <c r="B208">
        <v>151409762</v>
      </c>
      <c r="C208">
        <v>10001013</v>
      </c>
      <c r="D208" t="s">
        <v>27</v>
      </c>
      <c r="E208" t="s">
        <v>28</v>
      </c>
      <c r="F208">
        <v>351030</v>
      </c>
      <c r="G208">
        <v>5552445074</v>
      </c>
      <c r="H208">
        <v>23378822</v>
      </c>
      <c r="I208" t="s">
        <v>29</v>
      </c>
      <c r="K208" t="s">
        <v>30</v>
      </c>
      <c r="L208" t="s">
        <v>55</v>
      </c>
      <c r="M208">
        <v>9.6650000004999992</v>
      </c>
      <c r="N208">
        <v>13</v>
      </c>
      <c r="O208">
        <v>-3.33500000015</v>
      </c>
      <c r="P208">
        <v>0</v>
      </c>
      <c r="Q208">
        <v>0</v>
      </c>
      <c r="R208">
        <v>9.6650000004999992</v>
      </c>
      <c r="S208" t="s">
        <v>110</v>
      </c>
      <c r="T208" t="s">
        <v>107</v>
      </c>
      <c r="U208">
        <v>10001013</v>
      </c>
      <c r="Y208" t="s">
        <v>108</v>
      </c>
      <c r="Z208" t="s">
        <v>109</v>
      </c>
    </row>
    <row r="209" spans="1:26" x14ac:dyDescent="0.45">
      <c r="A209" t="s">
        <v>26</v>
      </c>
      <c r="B209">
        <v>151409781</v>
      </c>
      <c r="C209">
        <v>10000064</v>
      </c>
      <c r="D209" t="s">
        <v>27</v>
      </c>
      <c r="E209" t="s">
        <v>28</v>
      </c>
      <c r="F209">
        <v>348485</v>
      </c>
      <c r="G209">
        <v>5591808238</v>
      </c>
      <c r="H209">
        <v>23336253</v>
      </c>
      <c r="I209" t="s">
        <v>29</v>
      </c>
      <c r="K209" t="s">
        <v>30</v>
      </c>
      <c r="L209" t="s">
        <v>42</v>
      </c>
      <c r="M209">
        <v>9.6650000004999992</v>
      </c>
      <c r="N209">
        <v>13</v>
      </c>
      <c r="O209">
        <v>-3.33500000015</v>
      </c>
      <c r="P209">
        <v>0</v>
      </c>
      <c r="Q209">
        <v>0</v>
      </c>
      <c r="R209">
        <v>9.6650000004999992</v>
      </c>
      <c r="S209" t="s">
        <v>115</v>
      </c>
      <c r="T209" t="s">
        <v>107</v>
      </c>
      <c r="U209">
        <v>10000064</v>
      </c>
      <c r="Y209" t="s">
        <v>108</v>
      </c>
      <c r="Z209" t="s">
        <v>109</v>
      </c>
    </row>
    <row r="210" spans="1:26" x14ac:dyDescent="0.45">
      <c r="A210" t="s">
        <v>26</v>
      </c>
      <c r="B210">
        <v>151443758</v>
      </c>
      <c r="C210">
        <v>10000064</v>
      </c>
      <c r="D210" t="s">
        <v>27</v>
      </c>
      <c r="E210" t="s">
        <v>28</v>
      </c>
      <c r="F210">
        <v>346072</v>
      </c>
      <c r="G210">
        <v>5516757059</v>
      </c>
      <c r="H210">
        <v>24075269</v>
      </c>
      <c r="I210" t="s">
        <v>29</v>
      </c>
      <c r="K210" t="s">
        <v>30</v>
      </c>
      <c r="L210" t="s">
        <v>36</v>
      </c>
      <c r="M210">
        <v>13</v>
      </c>
      <c r="N210">
        <v>13</v>
      </c>
      <c r="O210">
        <v>0</v>
      </c>
      <c r="P210">
        <v>0</v>
      </c>
      <c r="Q210">
        <v>0</v>
      </c>
      <c r="R210">
        <v>13</v>
      </c>
      <c r="S210" t="s">
        <v>115</v>
      </c>
      <c r="T210" t="s">
        <v>111</v>
      </c>
      <c r="U210">
        <v>10000064</v>
      </c>
      <c r="Y210" t="s">
        <v>108</v>
      </c>
      <c r="Z210" t="s">
        <v>109</v>
      </c>
    </row>
    <row r="211" spans="1:26" x14ac:dyDescent="0.45">
      <c r="A211" t="s">
        <v>26</v>
      </c>
      <c r="B211">
        <v>151410686</v>
      </c>
      <c r="C211">
        <v>10000064</v>
      </c>
      <c r="D211" t="s">
        <v>27</v>
      </c>
      <c r="E211" t="s">
        <v>28</v>
      </c>
      <c r="F211">
        <v>346072</v>
      </c>
      <c r="G211">
        <v>5552456331</v>
      </c>
      <c r="H211">
        <v>23382543</v>
      </c>
      <c r="I211" t="s">
        <v>29</v>
      </c>
      <c r="K211" t="s">
        <v>30</v>
      </c>
      <c r="L211" t="s">
        <v>55</v>
      </c>
      <c r="M211">
        <v>9.6650000004999992</v>
      </c>
      <c r="N211">
        <v>13</v>
      </c>
      <c r="O211">
        <v>-3.33500000015</v>
      </c>
      <c r="P211">
        <v>0</v>
      </c>
      <c r="Q211">
        <v>0</v>
      </c>
      <c r="R211">
        <v>9.6650000004999992</v>
      </c>
      <c r="S211" t="s">
        <v>115</v>
      </c>
      <c r="T211" t="s">
        <v>107</v>
      </c>
      <c r="U211">
        <v>10000064</v>
      </c>
      <c r="Y211" t="s">
        <v>108</v>
      </c>
      <c r="Z211" t="s">
        <v>109</v>
      </c>
    </row>
    <row r="212" spans="1:26" x14ac:dyDescent="0.45">
      <c r="A212" t="s">
        <v>26</v>
      </c>
      <c r="B212">
        <v>151410942</v>
      </c>
      <c r="C212">
        <v>10000064</v>
      </c>
      <c r="D212" t="s">
        <v>27</v>
      </c>
      <c r="E212" t="s">
        <v>28</v>
      </c>
      <c r="F212">
        <v>346072</v>
      </c>
      <c r="G212">
        <v>5555499685</v>
      </c>
      <c r="H212">
        <v>23376830</v>
      </c>
      <c r="I212" t="s">
        <v>29</v>
      </c>
      <c r="K212" t="s">
        <v>30</v>
      </c>
      <c r="L212" t="s">
        <v>42</v>
      </c>
      <c r="M212">
        <v>13</v>
      </c>
      <c r="N212">
        <v>13</v>
      </c>
      <c r="O212">
        <v>0</v>
      </c>
      <c r="P212">
        <v>0</v>
      </c>
      <c r="Q212">
        <v>0</v>
      </c>
      <c r="R212">
        <v>13</v>
      </c>
      <c r="S212" t="s">
        <v>117</v>
      </c>
      <c r="T212" t="s">
        <v>111</v>
      </c>
      <c r="U212">
        <v>10000064</v>
      </c>
      <c r="Y212" t="s">
        <v>108</v>
      </c>
      <c r="Z212" t="s">
        <v>109</v>
      </c>
    </row>
    <row r="213" spans="1:26" x14ac:dyDescent="0.45">
      <c r="A213" t="s">
        <v>26</v>
      </c>
      <c r="B213">
        <v>151413164</v>
      </c>
      <c r="C213">
        <v>10000064</v>
      </c>
      <c r="D213" t="s">
        <v>27</v>
      </c>
      <c r="E213" t="s">
        <v>28</v>
      </c>
      <c r="F213">
        <v>352529</v>
      </c>
      <c r="G213">
        <v>5595608513</v>
      </c>
      <c r="H213">
        <v>23437284</v>
      </c>
      <c r="I213" t="s">
        <v>29</v>
      </c>
      <c r="K213" t="s">
        <v>30</v>
      </c>
      <c r="L213" t="s">
        <v>40</v>
      </c>
      <c r="M213">
        <v>9.6650000004999992</v>
      </c>
      <c r="N213">
        <v>13</v>
      </c>
      <c r="O213">
        <v>-3.33500000015</v>
      </c>
      <c r="P213">
        <v>0</v>
      </c>
      <c r="Q213">
        <v>0</v>
      </c>
      <c r="R213">
        <v>9.6650000004999992</v>
      </c>
      <c r="S213" t="s">
        <v>118</v>
      </c>
      <c r="T213" t="s">
        <v>107</v>
      </c>
      <c r="U213">
        <v>10000064</v>
      </c>
      <c r="Y213" t="s">
        <v>108</v>
      </c>
      <c r="Z213" t="s">
        <v>109</v>
      </c>
    </row>
    <row r="214" spans="1:26" x14ac:dyDescent="0.45">
      <c r="A214" t="s">
        <v>26</v>
      </c>
      <c r="B214">
        <v>151417029</v>
      </c>
      <c r="C214">
        <v>10001013</v>
      </c>
      <c r="D214" t="s">
        <v>27</v>
      </c>
      <c r="E214" t="s">
        <v>28</v>
      </c>
      <c r="F214">
        <v>345495</v>
      </c>
      <c r="G214">
        <v>5558107022</v>
      </c>
      <c r="H214">
        <v>23802224</v>
      </c>
      <c r="I214" t="s">
        <v>29</v>
      </c>
      <c r="K214" t="s">
        <v>30</v>
      </c>
      <c r="L214" t="s">
        <v>40</v>
      </c>
      <c r="M214">
        <v>9.6650000004999992</v>
      </c>
      <c r="N214">
        <v>13</v>
      </c>
      <c r="O214">
        <v>-3.33500000015</v>
      </c>
      <c r="P214">
        <v>0</v>
      </c>
      <c r="Q214">
        <v>0</v>
      </c>
      <c r="R214">
        <v>9.6650000004999992</v>
      </c>
      <c r="S214" t="s">
        <v>110</v>
      </c>
      <c r="T214" t="s">
        <v>107</v>
      </c>
      <c r="U214">
        <v>10001013</v>
      </c>
      <c r="Y214" t="s">
        <v>108</v>
      </c>
      <c r="Z214" t="s">
        <v>109</v>
      </c>
    </row>
    <row r="215" spans="1:26" x14ac:dyDescent="0.45">
      <c r="A215" t="s">
        <v>26</v>
      </c>
      <c r="B215">
        <v>151419851</v>
      </c>
      <c r="C215">
        <v>10000064</v>
      </c>
      <c r="D215" t="s">
        <v>27</v>
      </c>
      <c r="E215" t="s">
        <v>28</v>
      </c>
      <c r="F215">
        <v>348485</v>
      </c>
      <c r="G215">
        <v>5558415444</v>
      </c>
      <c r="H215">
        <v>23788517</v>
      </c>
      <c r="I215" t="s">
        <v>29</v>
      </c>
      <c r="K215" t="s">
        <v>30</v>
      </c>
      <c r="L215" t="s">
        <v>39</v>
      </c>
      <c r="M215">
        <v>13</v>
      </c>
      <c r="N215">
        <v>13</v>
      </c>
      <c r="O215">
        <v>0</v>
      </c>
      <c r="P215">
        <v>0</v>
      </c>
      <c r="Q215">
        <v>0</v>
      </c>
      <c r="R215">
        <v>13</v>
      </c>
      <c r="S215" t="s">
        <v>115</v>
      </c>
      <c r="T215" t="s">
        <v>111</v>
      </c>
      <c r="U215">
        <v>10000064</v>
      </c>
      <c r="Y215" t="s">
        <v>108</v>
      </c>
      <c r="Z215" t="s">
        <v>109</v>
      </c>
    </row>
    <row r="216" spans="1:26" x14ac:dyDescent="0.45">
      <c r="A216" t="s">
        <v>26</v>
      </c>
      <c r="B216">
        <v>151419967</v>
      </c>
      <c r="C216">
        <v>10000064</v>
      </c>
      <c r="D216" t="s">
        <v>27</v>
      </c>
      <c r="E216" t="s">
        <v>28</v>
      </c>
      <c r="F216">
        <v>348485</v>
      </c>
      <c r="G216">
        <v>5558416979</v>
      </c>
      <c r="H216">
        <v>23788939</v>
      </c>
      <c r="I216" t="s">
        <v>29</v>
      </c>
      <c r="K216" t="s">
        <v>30</v>
      </c>
      <c r="L216" t="s">
        <v>39</v>
      </c>
      <c r="M216">
        <v>9.6650000004999992</v>
      </c>
      <c r="N216">
        <v>13</v>
      </c>
      <c r="O216">
        <v>-3.33500000015</v>
      </c>
      <c r="P216">
        <v>0</v>
      </c>
      <c r="Q216">
        <v>0</v>
      </c>
      <c r="R216">
        <v>9.6650000004999992</v>
      </c>
      <c r="S216" t="s">
        <v>115</v>
      </c>
      <c r="T216" t="s">
        <v>107</v>
      </c>
      <c r="U216">
        <v>10000064</v>
      </c>
      <c r="Y216" t="s">
        <v>108</v>
      </c>
      <c r="Z216" t="s">
        <v>109</v>
      </c>
    </row>
    <row r="217" spans="1:26" x14ac:dyDescent="0.45">
      <c r="A217" t="s">
        <v>26</v>
      </c>
      <c r="B217">
        <v>151509485</v>
      </c>
      <c r="C217">
        <v>10000064</v>
      </c>
      <c r="D217" t="s">
        <v>27</v>
      </c>
      <c r="E217" t="s">
        <v>28</v>
      </c>
      <c r="F217">
        <v>352529</v>
      </c>
      <c r="G217">
        <v>5524605235</v>
      </c>
      <c r="H217">
        <v>25152467</v>
      </c>
      <c r="I217" t="s">
        <v>29</v>
      </c>
      <c r="K217" t="s">
        <v>30</v>
      </c>
      <c r="L217" t="s">
        <v>42</v>
      </c>
      <c r="M217">
        <v>262.99999998999999</v>
      </c>
      <c r="N217">
        <v>262.99999998999999</v>
      </c>
      <c r="O217">
        <v>0</v>
      </c>
      <c r="P217">
        <v>0</v>
      </c>
      <c r="Q217">
        <v>0</v>
      </c>
      <c r="R217">
        <v>262.99999998999999</v>
      </c>
      <c r="S217" t="s">
        <v>115</v>
      </c>
      <c r="T217" t="s">
        <v>38</v>
      </c>
      <c r="U217">
        <v>10000064</v>
      </c>
      <c r="Y217" t="s">
        <v>108</v>
      </c>
      <c r="Z217" t="s">
        <v>109</v>
      </c>
    </row>
    <row r="218" spans="1:26" x14ac:dyDescent="0.45">
      <c r="A218" t="s">
        <v>26</v>
      </c>
      <c r="B218">
        <v>151509562</v>
      </c>
      <c r="C218">
        <v>10000064</v>
      </c>
      <c r="D218" t="s">
        <v>27</v>
      </c>
      <c r="E218" t="s">
        <v>28</v>
      </c>
      <c r="F218">
        <v>352529</v>
      </c>
      <c r="G218">
        <v>5591351982</v>
      </c>
      <c r="H218">
        <v>25161429</v>
      </c>
      <c r="I218" t="s">
        <v>29</v>
      </c>
      <c r="K218" t="s">
        <v>30</v>
      </c>
      <c r="L218" t="s">
        <v>42</v>
      </c>
      <c r="M218">
        <v>262.99999998999999</v>
      </c>
      <c r="N218">
        <v>262.99999998999999</v>
      </c>
      <c r="O218">
        <v>0</v>
      </c>
      <c r="P218">
        <v>0</v>
      </c>
      <c r="Q218">
        <v>0</v>
      </c>
      <c r="R218">
        <v>262.99999998999999</v>
      </c>
      <c r="S218" t="s">
        <v>110</v>
      </c>
      <c r="T218" t="s">
        <v>38</v>
      </c>
      <c r="U218">
        <v>10000064</v>
      </c>
      <c r="Y218" t="s">
        <v>108</v>
      </c>
      <c r="Z218" t="s">
        <v>109</v>
      </c>
    </row>
    <row r="219" spans="1:26" x14ac:dyDescent="0.45">
      <c r="A219" t="s">
        <v>26</v>
      </c>
      <c r="B219">
        <v>151509589</v>
      </c>
      <c r="C219">
        <v>10000064</v>
      </c>
      <c r="D219" t="s">
        <v>27</v>
      </c>
      <c r="E219" t="s">
        <v>28</v>
      </c>
      <c r="F219">
        <v>348485</v>
      </c>
      <c r="G219">
        <v>5553746566</v>
      </c>
      <c r="H219">
        <v>25152492</v>
      </c>
      <c r="I219" t="s">
        <v>29</v>
      </c>
      <c r="K219" t="s">
        <v>30</v>
      </c>
      <c r="L219" t="s">
        <v>42</v>
      </c>
      <c r="M219">
        <v>262.99999998999999</v>
      </c>
      <c r="N219">
        <v>262.99999998999999</v>
      </c>
      <c r="O219">
        <v>0</v>
      </c>
      <c r="P219">
        <v>0</v>
      </c>
      <c r="Q219">
        <v>0</v>
      </c>
      <c r="R219">
        <v>262.99999998999999</v>
      </c>
      <c r="S219" t="s">
        <v>115</v>
      </c>
      <c r="T219" t="s">
        <v>38</v>
      </c>
      <c r="U219">
        <v>10000064</v>
      </c>
      <c r="Y219" t="s">
        <v>108</v>
      </c>
      <c r="Z219" t="s">
        <v>109</v>
      </c>
    </row>
    <row r="220" spans="1:26" x14ac:dyDescent="0.45">
      <c r="A220" t="s">
        <v>26</v>
      </c>
      <c r="B220">
        <v>151509618</v>
      </c>
      <c r="C220">
        <v>10000064</v>
      </c>
      <c r="D220" t="s">
        <v>27</v>
      </c>
      <c r="E220" t="s">
        <v>28</v>
      </c>
      <c r="F220">
        <v>348485</v>
      </c>
      <c r="G220">
        <v>5558557267</v>
      </c>
      <c r="H220">
        <v>25160946</v>
      </c>
      <c r="I220" t="s">
        <v>29</v>
      </c>
      <c r="K220" t="s">
        <v>30</v>
      </c>
      <c r="L220" t="s">
        <v>62</v>
      </c>
      <c r="M220">
        <v>262.99999998999999</v>
      </c>
      <c r="N220">
        <v>262.99999998999999</v>
      </c>
      <c r="O220">
        <v>0</v>
      </c>
      <c r="P220">
        <v>0</v>
      </c>
      <c r="Q220">
        <v>0</v>
      </c>
      <c r="R220">
        <v>262.99999998999999</v>
      </c>
      <c r="S220" t="s">
        <v>115</v>
      </c>
      <c r="T220" t="s">
        <v>38</v>
      </c>
      <c r="U220">
        <v>10000064</v>
      </c>
      <c r="Y220" t="s">
        <v>108</v>
      </c>
      <c r="Z220" t="s">
        <v>109</v>
      </c>
    </row>
    <row r="221" spans="1:26" x14ac:dyDescent="0.45">
      <c r="A221" t="s">
        <v>26</v>
      </c>
      <c r="B221">
        <v>151498119</v>
      </c>
      <c r="C221">
        <v>10001013</v>
      </c>
      <c r="D221" t="s">
        <v>27</v>
      </c>
      <c r="E221" t="s">
        <v>28</v>
      </c>
      <c r="F221">
        <v>353923</v>
      </c>
      <c r="G221">
        <v>5558660924</v>
      </c>
      <c r="H221">
        <v>25067369</v>
      </c>
      <c r="I221" t="s">
        <v>29</v>
      </c>
      <c r="K221" t="s">
        <v>30</v>
      </c>
      <c r="L221" t="s">
        <v>39</v>
      </c>
      <c r="M221">
        <v>262.99999998999999</v>
      </c>
      <c r="N221">
        <v>262.99999998999999</v>
      </c>
      <c r="O221">
        <v>0</v>
      </c>
      <c r="P221">
        <v>0</v>
      </c>
      <c r="Q221">
        <v>0</v>
      </c>
      <c r="R221">
        <v>262.99999998999999</v>
      </c>
      <c r="S221" t="s">
        <v>110</v>
      </c>
      <c r="T221" t="s">
        <v>38</v>
      </c>
      <c r="U221">
        <v>10001013</v>
      </c>
      <c r="Y221" t="s">
        <v>108</v>
      </c>
      <c r="Z221" t="s">
        <v>109</v>
      </c>
    </row>
    <row r="222" spans="1:26" x14ac:dyDescent="0.45">
      <c r="A222" t="s">
        <v>26</v>
      </c>
      <c r="B222">
        <v>151465766</v>
      </c>
      <c r="C222">
        <v>10000064</v>
      </c>
      <c r="D222" t="s">
        <v>27</v>
      </c>
      <c r="E222" t="s">
        <v>28</v>
      </c>
      <c r="F222">
        <v>346072</v>
      </c>
      <c r="G222">
        <v>5552738001</v>
      </c>
      <c r="H222">
        <v>24494036</v>
      </c>
      <c r="I222" t="s">
        <v>29</v>
      </c>
      <c r="K222" t="s">
        <v>30</v>
      </c>
      <c r="L222" t="s">
        <v>40</v>
      </c>
      <c r="M222">
        <v>67.999999990000006</v>
      </c>
      <c r="N222">
        <v>13</v>
      </c>
      <c r="O222">
        <v>55.000000002999997</v>
      </c>
      <c r="P222">
        <v>0</v>
      </c>
      <c r="Q222">
        <v>0</v>
      </c>
      <c r="R222">
        <v>67.999999990000006</v>
      </c>
      <c r="S222" t="s">
        <v>110</v>
      </c>
      <c r="T222" t="s">
        <v>119</v>
      </c>
      <c r="U222">
        <v>10000064</v>
      </c>
      <c r="Y222" t="s">
        <v>108</v>
      </c>
      <c r="Z222" t="s">
        <v>109</v>
      </c>
    </row>
    <row r="223" spans="1:26" x14ac:dyDescent="0.45">
      <c r="A223" t="s">
        <v>26</v>
      </c>
      <c r="B223">
        <v>151465956</v>
      </c>
      <c r="C223">
        <v>10001013</v>
      </c>
      <c r="D223" t="s">
        <v>27</v>
      </c>
      <c r="E223" t="s">
        <v>28</v>
      </c>
      <c r="F223">
        <v>353923</v>
      </c>
      <c r="G223">
        <v>5552738346</v>
      </c>
      <c r="H223">
        <v>24542164</v>
      </c>
      <c r="I223" t="s">
        <v>29</v>
      </c>
      <c r="K223" t="s">
        <v>30</v>
      </c>
      <c r="L223" t="s">
        <v>40</v>
      </c>
      <c r="M223">
        <v>13</v>
      </c>
      <c r="N223">
        <v>13</v>
      </c>
      <c r="O223">
        <v>0</v>
      </c>
      <c r="P223">
        <v>0</v>
      </c>
      <c r="Q223">
        <v>0</v>
      </c>
      <c r="R223">
        <v>13</v>
      </c>
      <c r="S223" t="s">
        <v>110</v>
      </c>
      <c r="T223" t="s">
        <v>111</v>
      </c>
      <c r="U223">
        <v>10001013</v>
      </c>
      <c r="Y223" t="s">
        <v>108</v>
      </c>
      <c r="Z223" t="s">
        <v>109</v>
      </c>
    </row>
    <row r="224" spans="1:26" x14ac:dyDescent="0.45">
      <c r="A224" t="s">
        <v>26</v>
      </c>
      <c r="B224">
        <v>151467648</v>
      </c>
      <c r="C224">
        <v>10001013</v>
      </c>
      <c r="D224" t="s">
        <v>27</v>
      </c>
      <c r="E224" t="s">
        <v>28</v>
      </c>
      <c r="F224">
        <v>353923</v>
      </c>
      <c r="G224">
        <v>5552737294</v>
      </c>
      <c r="H224">
        <v>24493680</v>
      </c>
      <c r="I224" t="s">
        <v>29</v>
      </c>
      <c r="K224" t="s">
        <v>30</v>
      </c>
      <c r="L224" t="s">
        <v>40</v>
      </c>
      <c r="M224">
        <v>67.999999990000006</v>
      </c>
      <c r="N224">
        <v>13</v>
      </c>
      <c r="O224">
        <v>55.000000002999997</v>
      </c>
      <c r="P224">
        <v>0</v>
      </c>
      <c r="Q224">
        <v>0</v>
      </c>
      <c r="R224">
        <v>67.999999990000006</v>
      </c>
      <c r="S224" t="s">
        <v>110</v>
      </c>
      <c r="T224" t="s">
        <v>119</v>
      </c>
      <c r="U224">
        <v>10001013</v>
      </c>
      <c r="Y224" t="s">
        <v>108</v>
      </c>
      <c r="Z224" t="s">
        <v>109</v>
      </c>
    </row>
    <row r="225" spans="1:26" x14ac:dyDescent="0.45">
      <c r="A225" t="s">
        <v>26</v>
      </c>
      <c r="B225">
        <v>151472537</v>
      </c>
      <c r="C225">
        <v>10000064</v>
      </c>
      <c r="D225" t="s">
        <v>27</v>
      </c>
      <c r="E225" t="s">
        <v>28</v>
      </c>
      <c r="F225">
        <v>346072</v>
      </c>
      <c r="G225">
        <v>5523457529</v>
      </c>
      <c r="H225">
        <v>24648061</v>
      </c>
      <c r="I225" t="s">
        <v>29</v>
      </c>
      <c r="K225" t="s">
        <v>30</v>
      </c>
      <c r="L225" t="s">
        <v>40</v>
      </c>
      <c r="M225">
        <v>13</v>
      </c>
      <c r="N225">
        <v>13</v>
      </c>
      <c r="O225">
        <v>0</v>
      </c>
      <c r="P225">
        <v>0</v>
      </c>
      <c r="Q225">
        <v>0</v>
      </c>
      <c r="R225">
        <v>13</v>
      </c>
      <c r="S225" t="s">
        <v>110</v>
      </c>
      <c r="T225" t="s">
        <v>111</v>
      </c>
      <c r="U225">
        <v>10000064</v>
      </c>
      <c r="Y225" t="s">
        <v>108</v>
      </c>
      <c r="Z225" t="s">
        <v>109</v>
      </c>
    </row>
    <row r="226" spans="1:26" x14ac:dyDescent="0.45">
      <c r="A226" t="s">
        <v>26</v>
      </c>
      <c r="B226">
        <v>151473856</v>
      </c>
      <c r="C226">
        <v>10000064</v>
      </c>
      <c r="D226" t="s">
        <v>27</v>
      </c>
      <c r="E226" t="s">
        <v>28</v>
      </c>
      <c r="F226">
        <v>346072</v>
      </c>
      <c r="G226">
        <v>5592882662</v>
      </c>
      <c r="H226">
        <v>24548366</v>
      </c>
      <c r="I226" t="s">
        <v>29</v>
      </c>
      <c r="K226" t="s">
        <v>30</v>
      </c>
      <c r="L226" t="s">
        <v>40</v>
      </c>
      <c r="M226">
        <v>13</v>
      </c>
      <c r="N226">
        <v>13</v>
      </c>
      <c r="O226">
        <v>0</v>
      </c>
      <c r="P226">
        <v>0</v>
      </c>
      <c r="Q226">
        <v>0</v>
      </c>
      <c r="R226">
        <v>13</v>
      </c>
      <c r="S226" t="s">
        <v>110</v>
      </c>
      <c r="T226" t="s">
        <v>111</v>
      </c>
      <c r="U226">
        <v>10000064</v>
      </c>
      <c r="Y226" t="s">
        <v>108</v>
      </c>
      <c r="Z226" t="s">
        <v>109</v>
      </c>
    </row>
    <row r="227" spans="1:26" x14ac:dyDescent="0.45">
      <c r="A227" t="s">
        <v>26</v>
      </c>
      <c r="B227">
        <v>151477226</v>
      </c>
      <c r="C227">
        <v>10001013</v>
      </c>
      <c r="D227" t="s">
        <v>27</v>
      </c>
      <c r="E227" t="s">
        <v>28</v>
      </c>
      <c r="F227">
        <v>348467</v>
      </c>
      <c r="G227">
        <v>5516759304</v>
      </c>
      <c r="H227">
        <v>24675410</v>
      </c>
      <c r="I227" t="s">
        <v>29</v>
      </c>
      <c r="K227" t="s">
        <v>30</v>
      </c>
      <c r="L227" t="s">
        <v>47</v>
      </c>
      <c r="M227">
        <v>13</v>
      </c>
      <c r="N227">
        <v>13</v>
      </c>
      <c r="O227">
        <v>0</v>
      </c>
      <c r="P227">
        <v>0</v>
      </c>
      <c r="Q227">
        <v>0</v>
      </c>
      <c r="R227">
        <v>13</v>
      </c>
      <c r="S227" t="s">
        <v>110</v>
      </c>
      <c r="T227" t="s">
        <v>111</v>
      </c>
      <c r="U227">
        <v>10001013</v>
      </c>
      <c r="Y227" t="s">
        <v>108</v>
      </c>
      <c r="Z227" t="s">
        <v>109</v>
      </c>
    </row>
    <row r="228" spans="1:26" x14ac:dyDescent="0.45">
      <c r="A228" t="s">
        <v>26</v>
      </c>
      <c r="B228">
        <v>151477245</v>
      </c>
      <c r="C228">
        <v>10000064</v>
      </c>
      <c r="D228" t="s">
        <v>27</v>
      </c>
      <c r="E228" t="s">
        <v>28</v>
      </c>
      <c r="F228">
        <v>346072</v>
      </c>
      <c r="G228">
        <v>5555556377</v>
      </c>
      <c r="H228">
        <v>24648164</v>
      </c>
      <c r="I228" t="s">
        <v>29</v>
      </c>
      <c r="K228" t="s">
        <v>30</v>
      </c>
      <c r="L228" t="s">
        <v>40</v>
      </c>
      <c r="M228">
        <v>13</v>
      </c>
      <c r="N228">
        <v>13</v>
      </c>
      <c r="O228">
        <v>0</v>
      </c>
      <c r="P228">
        <v>0</v>
      </c>
      <c r="Q228">
        <v>0</v>
      </c>
      <c r="R228">
        <v>13</v>
      </c>
      <c r="S228" t="s">
        <v>110</v>
      </c>
      <c r="T228" t="s">
        <v>111</v>
      </c>
      <c r="U228">
        <v>10000064</v>
      </c>
      <c r="Y228" t="s">
        <v>108</v>
      </c>
      <c r="Z228" t="s">
        <v>109</v>
      </c>
    </row>
    <row r="229" spans="1:26" x14ac:dyDescent="0.45">
      <c r="A229" t="s">
        <v>26</v>
      </c>
      <c r="B229">
        <v>151477273</v>
      </c>
      <c r="C229">
        <v>10000064</v>
      </c>
      <c r="D229" t="s">
        <v>27</v>
      </c>
      <c r="E229" t="s">
        <v>28</v>
      </c>
      <c r="F229">
        <v>348485</v>
      </c>
      <c r="G229">
        <v>5526504934</v>
      </c>
      <c r="H229">
        <v>24597686</v>
      </c>
      <c r="I229" t="s">
        <v>29</v>
      </c>
      <c r="K229" t="s">
        <v>30</v>
      </c>
      <c r="L229" t="s">
        <v>31</v>
      </c>
      <c r="M229">
        <v>13</v>
      </c>
      <c r="N229">
        <v>13</v>
      </c>
      <c r="O229">
        <v>0</v>
      </c>
      <c r="P229">
        <v>0</v>
      </c>
      <c r="Q229">
        <v>0</v>
      </c>
      <c r="R229">
        <v>13</v>
      </c>
      <c r="S229" t="s">
        <v>110</v>
      </c>
      <c r="T229" t="s">
        <v>111</v>
      </c>
      <c r="U229">
        <v>10000064</v>
      </c>
      <c r="Y229" t="s">
        <v>108</v>
      </c>
      <c r="Z229" t="s">
        <v>109</v>
      </c>
    </row>
    <row r="230" spans="1:26" x14ac:dyDescent="0.45">
      <c r="A230" t="s">
        <v>26</v>
      </c>
      <c r="B230">
        <v>151479237</v>
      </c>
      <c r="C230">
        <v>10000064</v>
      </c>
      <c r="D230" t="s">
        <v>27</v>
      </c>
      <c r="E230" t="s">
        <v>28</v>
      </c>
      <c r="F230">
        <v>346072</v>
      </c>
      <c r="G230">
        <v>5513341399</v>
      </c>
      <c r="H230">
        <v>24675427</v>
      </c>
      <c r="I230" t="s">
        <v>29</v>
      </c>
      <c r="K230" t="s">
        <v>30</v>
      </c>
      <c r="L230" t="s">
        <v>40</v>
      </c>
      <c r="M230">
        <v>13</v>
      </c>
      <c r="N230">
        <v>13</v>
      </c>
      <c r="O230">
        <v>0</v>
      </c>
      <c r="P230">
        <v>0</v>
      </c>
      <c r="Q230">
        <v>0</v>
      </c>
      <c r="R230">
        <v>13</v>
      </c>
      <c r="S230" t="s">
        <v>114</v>
      </c>
      <c r="T230" t="s">
        <v>111</v>
      </c>
      <c r="U230">
        <v>10000064</v>
      </c>
      <c r="Y230" t="s">
        <v>108</v>
      </c>
      <c r="Z230" t="s">
        <v>109</v>
      </c>
    </row>
    <row r="231" spans="1:26" x14ac:dyDescent="0.45">
      <c r="A231" t="s">
        <v>26</v>
      </c>
      <c r="B231">
        <v>151479665</v>
      </c>
      <c r="C231">
        <v>10000064</v>
      </c>
      <c r="D231" t="s">
        <v>27</v>
      </c>
      <c r="E231" t="s">
        <v>28</v>
      </c>
      <c r="F231">
        <v>346072</v>
      </c>
      <c r="G231">
        <v>5513341428</v>
      </c>
      <c r="H231">
        <v>24675446</v>
      </c>
      <c r="I231" t="s">
        <v>29</v>
      </c>
      <c r="K231" t="s">
        <v>30</v>
      </c>
      <c r="L231" t="s">
        <v>47</v>
      </c>
      <c r="M231">
        <v>13</v>
      </c>
      <c r="N231">
        <v>13</v>
      </c>
      <c r="O231">
        <v>0</v>
      </c>
      <c r="P231">
        <v>0</v>
      </c>
      <c r="Q231">
        <v>0</v>
      </c>
      <c r="R231">
        <v>13</v>
      </c>
      <c r="S231" t="s">
        <v>110</v>
      </c>
      <c r="T231" t="s">
        <v>111</v>
      </c>
      <c r="U231">
        <v>10000064</v>
      </c>
      <c r="Y231" t="s">
        <v>108</v>
      </c>
      <c r="Z231" t="s">
        <v>109</v>
      </c>
    </row>
    <row r="232" spans="1:26" x14ac:dyDescent="0.45">
      <c r="A232" t="s">
        <v>26</v>
      </c>
      <c r="B232">
        <v>151480988</v>
      </c>
      <c r="C232">
        <v>10001013</v>
      </c>
      <c r="D232" t="s">
        <v>27</v>
      </c>
      <c r="E232" t="s">
        <v>28</v>
      </c>
      <c r="F232">
        <v>353923</v>
      </c>
      <c r="G232">
        <v>5557682379</v>
      </c>
      <c r="H232">
        <v>24705433</v>
      </c>
      <c r="I232" t="s">
        <v>29</v>
      </c>
      <c r="K232" t="s">
        <v>30</v>
      </c>
      <c r="L232" t="s">
        <v>55</v>
      </c>
      <c r="M232">
        <v>13</v>
      </c>
      <c r="N232">
        <v>13</v>
      </c>
      <c r="O232">
        <v>0</v>
      </c>
      <c r="P232">
        <v>0</v>
      </c>
      <c r="Q232">
        <v>0</v>
      </c>
      <c r="R232">
        <v>13</v>
      </c>
      <c r="S232" t="s">
        <v>110</v>
      </c>
      <c r="T232" t="s">
        <v>111</v>
      </c>
      <c r="U232">
        <v>10001013</v>
      </c>
      <c r="Y232" t="s">
        <v>108</v>
      </c>
      <c r="Z232" t="s">
        <v>109</v>
      </c>
    </row>
    <row r="233" spans="1:26" x14ac:dyDescent="0.45">
      <c r="A233" t="s">
        <v>26</v>
      </c>
      <c r="B233">
        <v>151465310</v>
      </c>
      <c r="C233">
        <v>10000064</v>
      </c>
      <c r="D233" t="s">
        <v>27</v>
      </c>
      <c r="E233" t="s">
        <v>28</v>
      </c>
      <c r="F233">
        <v>346072</v>
      </c>
      <c r="G233">
        <v>5557727376</v>
      </c>
      <c r="H233">
        <v>24498715</v>
      </c>
      <c r="I233" t="s">
        <v>29</v>
      </c>
      <c r="K233" t="s">
        <v>30</v>
      </c>
      <c r="L233" t="s">
        <v>40</v>
      </c>
      <c r="M233">
        <v>13</v>
      </c>
      <c r="N233">
        <v>13</v>
      </c>
      <c r="O233">
        <v>0</v>
      </c>
      <c r="P233">
        <v>0</v>
      </c>
      <c r="Q233">
        <v>0</v>
      </c>
      <c r="R233">
        <v>13</v>
      </c>
      <c r="S233" t="s">
        <v>110</v>
      </c>
      <c r="T233" t="s">
        <v>111</v>
      </c>
      <c r="U233">
        <v>10000064</v>
      </c>
      <c r="Y233" t="s">
        <v>108</v>
      </c>
      <c r="Z233" t="s">
        <v>109</v>
      </c>
    </row>
    <row r="234" spans="1:26" x14ac:dyDescent="0.45">
      <c r="A234" t="s">
        <v>26</v>
      </c>
      <c r="B234">
        <v>151498147</v>
      </c>
      <c r="C234">
        <v>10001013</v>
      </c>
      <c r="D234" t="s">
        <v>27</v>
      </c>
      <c r="E234" t="s">
        <v>28</v>
      </c>
      <c r="F234">
        <v>353923</v>
      </c>
      <c r="G234">
        <v>5557531464</v>
      </c>
      <c r="H234">
        <v>25089804</v>
      </c>
      <c r="I234" t="s">
        <v>29</v>
      </c>
      <c r="K234" t="s">
        <v>30</v>
      </c>
      <c r="L234" t="s">
        <v>101</v>
      </c>
      <c r="M234">
        <v>262.99999998999999</v>
      </c>
      <c r="N234">
        <v>262.99999998999999</v>
      </c>
      <c r="O234">
        <v>0</v>
      </c>
      <c r="P234">
        <v>0</v>
      </c>
      <c r="Q234">
        <v>0</v>
      </c>
      <c r="R234">
        <v>262.99999998999999</v>
      </c>
      <c r="S234" t="s">
        <v>110</v>
      </c>
      <c r="T234" t="s">
        <v>38</v>
      </c>
      <c r="U234">
        <v>10001013</v>
      </c>
      <c r="Y234" t="s">
        <v>108</v>
      </c>
      <c r="Z234" t="s">
        <v>109</v>
      </c>
    </row>
    <row r="235" spans="1:26" x14ac:dyDescent="0.45">
      <c r="A235" t="s">
        <v>26</v>
      </c>
      <c r="B235">
        <v>151499972</v>
      </c>
      <c r="C235">
        <v>10000064</v>
      </c>
      <c r="D235" t="s">
        <v>27</v>
      </c>
      <c r="E235" t="s">
        <v>28</v>
      </c>
      <c r="F235">
        <v>348485</v>
      </c>
      <c r="G235">
        <v>5597579781</v>
      </c>
      <c r="H235">
        <v>25028260</v>
      </c>
      <c r="I235" t="s">
        <v>29</v>
      </c>
      <c r="M235">
        <v>262.99999998999999</v>
      </c>
      <c r="N235">
        <v>262.99999998999999</v>
      </c>
      <c r="O235">
        <v>0</v>
      </c>
      <c r="P235">
        <v>0</v>
      </c>
      <c r="Q235">
        <v>0</v>
      </c>
      <c r="R235">
        <v>262.99999998999999</v>
      </c>
      <c r="S235" t="s">
        <v>110</v>
      </c>
      <c r="T235" t="s">
        <v>38</v>
      </c>
      <c r="U235">
        <v>10000064</v>
      </c>
      <c r="Y235" t="s">
        <v>108</v>
      </c>
      <c r="Z235" t="s">
        <v>109</v>
      </c>
    </row>
    <row r="236" spans="1:26" x14ac:dyDescent="0.45">
      <c r="A236" t="s">
        <v>26</v>
      </c>
      <c r="B236">
        <v>151500819</v>
      </c>
      <c r="C236">
        <v>10000064</v>
      </c>
      <c r="D236" t="s">
        <v>27</v>
      </c>
      <c r="E236" t="s">
        <v>28</v>
      </c>
      <c r="F236">
        <v>352529</v>
      </c>
      <c r="G236">
        <v>5511851982</v>
      </c>
      <c r="H236">
        <v>25134907</v>
      </c>
      <c r="I236" t="s">
        <v>29</v>
      </c>
      <c r="K236" t="s">
        <v>30</v>
      </c>
      <c r="L236" t="s">
        <v>36</v>
      </c>
      <c r="M236">
        <v>262.99999998999999</v>
      </c>
      <c r="N236">
        <v>262.99999998999999</v>
      </c>
      <c r="O236">
        <v>0</v>
      </c>
      <c r="P236">
        <v>0</v>
      </c>
      <c r="Q236">
        <v>0</v>
      </c>
      <c r="R236">
        <v>262.99999998999999</v>
      </c>
      <c r="S236" t="s">
        <v>110</v>
      </c>
      <c r="T236" t="s">
        <v>38</v>
      </c>
      <c r="U236">
        <v>10000064</v>
      </c>
      <c r="Y236" t="s">
        <v>108</v>
      </c>
      <c r="Z236" t="s">
        <v>109</v>
      </c>
    </row>
    <row r="237" spans="1:26" x14ac:dyDescent="0.45">
      <c r="A237" t="s">
        <v>26</v>
      </c>
      <c r="B237">
        <v>151501478</v>
      </c>
      <c r="C237">
        <v>10000064</v>
      </c>
      <c r="D237" t="s">
        <v>27</v>
      </c>
      <c r="E237" t="s">
        <v>28</v>
      </c>
      <c r="F237">
        <v>352529</v>
      </c>
      <c r="G237">
        <v>5555557325</v>
      </c>
      <c r="H237">
        <v>25047514</v>
      </c>
      <c r="I237" t="s">
        <v>29</v>
      </c>
      <c r="K237" t="s">
        <v>30</v>
      </c>
      <c r="L237" t="s">
        <v>42</v>
      </c>
      <c r="M237">
        <v>262.99999998999999</v>
      </c>
      <c r="N237">
        <v>262.99999998999999</v>
      </c>
      <c r="O237">
        <v>0</v>
      </c>
      <c r="P237">
        <v>0</v>
      </c>
      <c r="Q237">
        <v>0</v>
      </c>
      <c r="R237">
        <v>262.99999998999999</v>
      </c>
      <c r="S237" t="s">
        <v>120</v>
      </c>
      <c r="T237" t="s">
        <v>38</v>
      </c>
      <c r="U237">
        <v>10000064</v>
      </c>
      <c r="Y237" t="s">
        <v>108</v>
      </c>
      <c r="Z237" t="s">
        <v>109</v>
      </c>
    </row>
    <row r="238" spans="1:26" x14ac:dyDescent="0.45">
      <c r="A238" t="s">
        <v>26</v>
      </c>
      <c r="B238">
        <v>151501574</v>
      </c>
      <c r="C238">
        <v>10000064</v>
      </c>
      <c r="D238" t="s">
        <v>27</v>
      </c>
      <c r="E238" t="s">
        <v>28</v>
      </c>
      <c r="F238">
        <v>352529</v>
      </c>
      <c r="G238">
        <v>5524605072</v>
      </c>
      <c r="H238">
        <v>25135115</v>
      </c>
      <c r="I238" t="s">
        <v>29</v>
      </c>
      <c r="K238" t="s">
        <v>30</v>
      </c>
      <c r="L238" t="s">
        <v>42</v>
      </c>
      <c r="M238">
        <v>262.99999998999999</v>
      </c>
      <c r="N238">
        <v>262.99999998999999</v>
      </c>
      <c r="O238">
        <v>0</v>
      </c>
      <c r="P238">
        <v>0</v>
      </c>
      <c r="Q238">
        <v>0</v>
      </c>
      <c r="R238">
        <v>262.99999998999999</v>
      </c>
      <c r="S238" t="s">
        <v>110</v>
      </c>
      <c r="T238" t="s">
        <v>38</v>
      </c>
      <c r="U238">
        <v>10000064</v>
      </c>
      <c r="Y238" t="s">
        <v>108</v>
      </c>
      <c r="Z238" t="s">
        <v>109</v>
      </c>
    </row>
    <row r="239" spans="1:26" x14ac:dyDescent="0.45">
      <c r="A239" t="s">
        <v>26</v>
      </c>
      <c r="B239">
        <v>151501625</v>
      </c>
      <c r="C239">
        <v>10000064</v>
      </c>
      <c r="D239" t="s">
        <v>27</v>
      </c>
      <c r="E239" t="s">
        <v>28</v>
      </c>
      <c r="F239">
        <v>352529</v>
      </c>
      <c r="G239">
        <v>5555557386</v>
      </c>
      <c r="H239">
        <v>25047591</v>
      </c>
      <c r="I239" t="s">
        <v>29</v>
      </c>
      <c r="K239" t="s">
        <v>30</v>
      </c>
      <c r="L239" t="s">
        <v>42</v>
      </c>
      <c r="M239">
        <v>262.99999998999999</v>
      </c>
      <c r="N239">
        <v>262.99999998999999</v>
      </c>
      <c r="O239">
        <v>0</v>
      </c>
      <c r="P239">
        <v>0</v>
      </c>
      <c r="Q239">
        <v>0</v>
      </c>
      <c r="R239">
        <v>262.99999998999999</v>
      </c>
      <c r="S239" t="s">
        <v>115</v>
      </c>
      <c r="T239" t="s">
        <v>38</v>
      </c>
      <c r="U239">
        <v>10000064</v>
      </c>
      <c r="Y239" t="s">
        <v>108</v>
      </c>
      <c r="Z239" t="s">
        <v>109</v>
      </c>
    </row>
    <row r="240" spans="1:26" x14ac:dyDescent="0.45">
      <c r="A240" t="s">
        <v>26</v>
      </c>
      <c r="B240">
        <v>151503589</v>
      </c>
      <c r="C240">
        <v>10000064</v>
      </c>
      <c r="D240" t="s">
        <v>27</v>
      </c>
      <c r="E240" t="s">
        <v>28</v>
      </c>
      <c r="F240">
        <v>348485</v>
      </c>
      <c r="G240">
        <v>5555557194</v>
      </c>
      <c r="H240">
        <v>25179654</v>
      </c>
      <c r="I240" t="s">
        <v>29</v>
      </c>
      <c r="K240" t="s">
        <v>30</v>
      </c>
      <c r="L240" t="s">
        <v>42</v>
      </c>
      <c r="M240">
        <v>262.99999998999999</v>
      </c>
      <c r="N240">
        <v>262.99999998999999</v>
      </c>
      <c r="O240">
        <v>0</v>
      </c>
      <c r="P240">
        <v>0</v>
      </c>
      <c r="Q240">
        <v>0</v>
      </c>
      <c r="R240">
        <v>262.99999998999999</v>
      </c>
      <c r="S240" t="s">
        <v>110</v>
      </c>
      <c r="T240" t="s">
        <v>38</v>
      </c>
      <c r="U240">
        <v>10000064</v>
      </c>
      <c r="Y240" t="s">
        <v>108</v>
      </c>
      <c r="Z240" t="s">
        <v>109</v>
      </c>
    </row>
    <row r="241" spans="1:26" x14ac:dyDescent="0.45">
      <c r="A241" t="s">
        <v>26</v>
      </c>
      <c r="B241">
        <v>151505747</v>
      </c>
      <c r="C241">
        <v>10001013</v>
      </c>
      <c r="D241" t="s">
        <v>27</v>
      </c>
      <c r="E241" t="s">
        <v>28</v>
      </c>
      <c r="F241">
        <v>353923</v>
      </c>
      <c r="G241">
        <v>5596368059</v>
      </c>
      <c r="H241">
        <v>25094449</v>
      </c>
      <c r="I241" t="s">
        <v>29</v>
      </c>
      <c r="K241" t="s">
        <v>30</v>
      </c>
      <c r="L241" t="s">
        <v>101</v>
      </c>
      <c r="M241">
        <v>262.99999998999999</v>
      </c>
      <c r="N241">
        <v>262.99999998999999</v>
      </c>
      <c r="O241">
        <v>0</v>
      </c>
      <c r="P241">
        <v>0</v>
      </c>
      <c r="Q241">
        <v>0</v>
      </c>
      <c r="R241">
        <v>262.99999998999999</v>
      </c>
      <c r="S241" t="s">
        <v>110</v>
      </c>
      <c r="T241" t="s">
        <v>38</v>
      </c>
      <c r="U241">
        <v>10001013</v>
      </c>
      <c r="Y241" t="s">
        <v>108</v>
      </c>
      <c r="Z241" t="s">
        <v>109</v>
      </c>
    </row>
    <row r="242" spans="1:26" x14ac:dyDescent="0.45">
      <c r="A242" t="s">
        <v>26</v>
      </c>
      <c r="B242">
        <v>151505801</v>
      </c>
      <c r="C242">
        <v>10001013</v>
      </c>
      <c r="D242" t="s">
        <v>27</v>
      </c>
      <c r="E242" t="s">
        <v>28</v>
      </c>
      <c r="F242">
        <v>353923</v>
      </c>
      <c r="G242">
        <v>5559497917</v>
      </c>
      <c r="H242">
        <v>25097040</v>
      </c>
      <c r="I242" t="s">
        <v>29</v>
      </c>
      <c r="K242" t="s">
        <v>30</v>
      </c>
      <c r="L242" t="s">
        <v>62</v>
      </c>
      <c r="M242">
        <v>262.99999998999999</v>
      </c>
      <c r="N242">
        <v>262.99999998999999</v>
      </c>
      <c r="O242">
        <v>0</v>
      </c>
      <c r="P242">
        <v>0</v>
      </c>
      <c r="Q242">
        <v>0</v>
      </c>
      <c r="R242">
        <v>262.99999998999999</v>
      </c>
      <c r="S242" t="s">
        <v>120</v>
      </c>
      <c r="T242" t="s">
        <v>38</v>
      </c>
      <c r="U242">
        <v>10001013</v>
      </c>
      <c r="Y242" t="s">
        <v>108</v>
      </c>
      <c r="Z242" t="s">
        <v>109</v>
      </c>
    </row>
    <row r="243" spans="1:26" x14ac:dyDescent="0.45">
      <c r="A243" t="s">
        <v>26</v>
      </c>
      <c r="B243">
        <v>151507513</v>
      </c>
      <c r="C243">
        <v>10000064</v>
      </c>
      <c r="D243" t="s">
        <v>27</v>
      </c>
      <c r="E243" t="s">
        <v>28</v>
      </c>
      <c r="F243">
        <v>352529</v>
      </c>
      <c r="G243">
        <v>5557536983</v>
      </c>
      <c r="H243">
        <v>25179715</v>
      </c>
      <c r="I243" t="s">
        <v>29</v>
      </c>
      <c r="K243" t="s">
        <v>30</v>
      </c>
      <c r="L243" t="s">
        <v>101</v>
      </c>
      <c r="M243">
        <v>262.99999998999999</v>
      </c>
      <c r="N243">
        <v>262.99999998999999</v>
      </c>
      <c r="O243">
        <v>0</v>
      </c>
      <c r="P243">
        <v>0</v>
      </c>
      <c r="Q243">
        <v>0</v>
      </c>
      <c r="R243">
        <v>262.99999998999999</v>
      </c>
      <c r="S243" t="s">
        <v>110</v>
      </c>
      <c r="T243" t="s">
        <v>38</v>
      </c>
      <c r="U243">
        <v>10000064</v>
      </c>
      <c r="Y243" t="s">
        <v>108</v>
      </c>
      <c r="Z243" t="s">
        <v>109</v>
      </c>
    </row>
    <row r="244" spans="1:26" x14ac:dyDescent="0.45">
      <c r="A244" t="s">
        <v>26</v>
      </c>
      <c r="B244">
        <v>151458298</v>
      </c>
      <c r="C244">
        <v>10000064</v>
      </c>
      <c r="D244" t="s">
        <v>27</v>
      </c>
      <c r="E244" t="s">
        <v>28</v>
      </c>
      <c r="F244">
        <v>346072</v>
      </c>
      <c r="G244">
        <v>5521579787</v>
      </c>
      <c r="H244">
        <v>24254941</v>
      </c>
      <c r="I244" t="s">
        <v>29</v>
      </c>
      <c r="K244" t="s">
        <v>30</v>
      </c>
      <c r="L244" t="s">
        <v>42</v>
      </c>
      <c r="M244">
        <v>13</v>
      </c>
      <c r="N244">
        <v>13</v>
      </c>
      <c r="O244">
        <v>0</v>
      </c>
      <c r="P244">
        <v>0</v>
      </c>
      <c r="Q244">
        <v>0</v>
      </c>
      <c r="R244">
        <v>13</v>
      </c>
      <c r="S244" t="s">
        <v>120</v>
      </c>
      <c r="T244" t="s">
        <v>111</v>
      </c>
      <c r="U244">
        <v>10000064</v>
      </c>
      <c r="Y244" t="s">
        <v>108</v>
      </c>
      <c r="Z244" t="s">
        <v>109</v>
      </c>
    </row>
    <row r="245" spans="1:26" x14ac:dyDescent="0.45">
      <c r="A245" t="s">
        <v>26</v>
      </c>
      <c r="B245">
        <v>151443794</v>
      </c>
      <c r="C245">
        <v>10000064</v>
      </c>
      <c r="D245" t="s">
        <v>27</v>
      </c>
      <c r="E245" t="s">
        <v>28</v>
      </c>
      <c r="F245">
        <v>348485</v>
      </c>
      <c r="G245">
        <v>5558106532</v>
      </c>
      <c r="H245">
        <v>24066388</v>
      </c>
      <c r="I245" t="s">
        <v>29</v>
      </c>
      <c r="K245" t="s">
        <v>30</v>
      </c>
      <c r="L245" t="s">
        <v>36</v>
      </c>
      <c r="M245">
        <v>13</v>
      </c>
      <c r="N245">
        <v>13</v>
      </c>
      <c r="O245">
        <v>0</v>
      </c>
      <c r="P245">
        <v>0</v>
      </c>
      <c r="Q245">
        <v>0</v>
      </c>
      <c r="R245">
        <v>13</v>
      </c>
      <c r="S245" t="s">
        <v>115</v>
      </c>
      <c r="T245" t="s">
        <v>111</v>
      </c>
      <c r="U245">
        <v>10000064</v>
      </c>
      <c r="Y245" t="s">
        <v>108</v>
      </c>
      <c r="Z245" t="s">
        <v>109</v>
      </c>
    </row>
    <row r="246" spans="1:26" x14ac:dyDescent="0.45">
      <c r="A246" t="s">
        <v>26</v>
      </c>
      <c r="B246">
        <v>151443822</v>
      </c>
      <c r="C246">
        <v>10001013</v>
      </c>
      <c r="D246" t="s">
        <v>27</v>
      </c>
      <c r="E246" t="s">
        <v>28</v>
      </c>
      <c r="F246">
        <v>348467</v>
      </c>
      <c r="G246">
        <v>5526504233</v>
      </c>
      <c r="H246">
        <v>24212550</v>
      </c>
      <c r="I246" t="s">
        <v>29</v>
      </c>
      <c r="K246" t="s">
        <v>30</v>
      </c>
      <c r="L246" t="s">
        <v>40</v>
      </c>
      <c r="M246">
        <v>13</v>
      </c>
      <c r="N246">
        <v>13</v>
      </c>
      <c r="O246">
        <v>0</v>
      </c>
      <c r="P246">
        <v>0</v>
      </c>
      <c r="Q246">
        <v>0</v>
      </c>
      <c r="R246">
        <v>13</v>
      </c>
      <c r="S246" t="s">
        <v>110</v>
      </c>
      <c r="T246" t="s">
        <v>111</v>
      </c>
      <c r="U246">
        <v>10001013</v>
      </c>
      <c r="Y246" t="s">
        <v>108</v>
      </c>
      <c r="Z246" t="s">
        <v>109</v>
      </c>
    </row>
    <row r="247" spans="1:26" x14ac:dyDescent="0.45">
      <c r="A247" t="s">
        <v>26</v>
      </c>
      <c r="B247">
        <v>151443918</v>
      </c>
      <c r="C247">
        <v>10001013</v>
      </c>
      <c r="D247" t="s">
        <v>27</v>
      </c>
      <c r="E247" t="s">
        <v>28</v>
      </c>
      <c r="F247">
        <v>348467</v>
      </c>
      <c r="G247">
        <v>5515592087</v>
      </c>
      <c r="H247">
        <v>24068820</v>
      </c>
      <c r="I247" t="s">
        <v>29</v>
      </c>
      <c r="K247" t="s">
        <v>30</v>
      </c>
      <c r="L247" t="s">
        <v>36</v>
      </c>
      <c r="M247">
        <v>13</v>
      </c>
      <c r="N247">
        <v>13</v>
      </c>
      <c r="O247">
        <v>0</v>
      </c>
      <c r="P247">
        <v>0</v>
      </c>
      <c r="Q247">
        <v>0</v>
      </c>
      <c r="R247">
        <v>13</v>
      </c>
      <c r="S247" t="s">
        <v>114</v>
      </c>
      <c r="T247" t="s">
        <v>111</v>
      </c>
      <c r="U247">
        <v>10001013</v>
      </c>
      <c r="Y247" t="s">
        <v>108</v>
      </c>
      <c r="Z247" t="s">
        <v>109</v>
      </c>
    </row>
    <row r="248" spans="1:26" x14ac:dyDescent="0.45">
      <c r="A248" t="s">
        <v>26</v>
      </c>
      <c r="B248">
        <v>151445871</v>
      </c>
      <c r="C248">
        <v>10001013</v>
      </c>
      <c r="D248" t="s">
        <v>27</v>
      </c>
      <c r="E248" t="s">
        <v>28</v>
      </c>
      <c r="F248">
        <v>348467</v>
      </c>
      <c r="G248">
        <v>5554259354</v>
      </c>
      <c r="H248">
        <v>24135942</v>
      </c>
      <c r="I248" t="s">
        <v>29</v>
      </c>
      <c r="K248" t="s">
        <v>30</v>
      </c>
      <c r="L248" t="s">
        <v>36</v>
      </c>
      <c r="M248">
        <v>13</v>
      </c>
      <c r="N248">
        <v>13</v>
      </c>
      <c r="O248">
        <v>0</v>
      </c>
      <c r="P248">
        <v>0</v>
      </c>
      <c r="Q248">
        <v>0</v>
      </c>
      <c r="R248">
        <v>13</v>
      </c>
      <c r="S248" t="s">
        <v>110</v>
      </c>
      <c r="T248" t="s">
        <v>111</v>
      </c>
      <c r="U248">
        <v>10001013</v>
      </c>
      <c r="Y248" t="s">
        <v>108</v>
      </c>
      <c r="Z248" t="s">
        <v>109</v>
      </c>
    </row>
    <row r="249" spans="1:26" x14ac:dyDescent="0.45">
      <c r="A249" t="s">
        <v>26</v>
      </c>
      <c r="B249">
        <v>151445934</v>
      </c>
      <c r="C249">
        <v>10000064</v>
      </c>
      <c r="D249" t="s">
        <v>27</v>
      </c>
      <c r="E249" t="s">
        <v>28</v>
      </c>
      <c r="F249">
        <v>346072</v>
      </c>
      <c r="G249">
        <v>5517186980</v>
      </c>
      <c r="H249">
        <v>24096896</v>
      </c>
      <c r="I249" t="s">
        <v>29</v>
      </c>
      <c r="K249" t="s">
        <v>30</v>
      </c>
      <c r="L249" t="s">
        <v>40</v>
      </c>
      <c r="M249">
        <v>13</v>
      </c>
      <c r="N249">
        <v>13</v>
      </c>
      <c r="O249">
        <v>0</v>
      </c>
      <c r="P249">
        <v>0</v>
      </c>
      <c r="Q249">
        <v>0</v>
      </c>
      <c r="R249">
        <v>13</v>
      </c>
      <c r="S249" t="s">
        <v>110</v>
      </c>
      <c r="T249" t="s">
        <v>111</v>
      </c>
      <c r="U249">
        <v>10000064</v>
      </c>
      <c r="Y249" t="s">
        <v>108</v>
      </c>
      <c r="Z249" t="s">
        <v>109</v>
      </c>
    </row>
    <row r="250" spans="1:26" x14ac:dyDescent="0.45">
      <c r="A250" t="s">
        <v>26</v>
      </c>
      <c r="B250">
        <v>151445949</v>
      </c>
      <c r="C250">
        <v>10000064</v>
      </c>
      <c r="D250" t="s">
        <v>27</v>
      </c>
      <c r="E250" t="s">
        <v>28</v>
      </c>
      <c r="F250">
        <v>353921</v>
      </c>
      <c r="G250">
        <v>5556673501</v>
      </c>
      <c r="H250">
        <v>24099246</v>
      </c>
      <c r="I250" t="s">
        <v>29</v>
      </c>
      <c r="K250" t="s">
        <v>30</v>
      </c>
      <c r="L250" t="s">
        <v>36</v>
      </c>
      <c r="M250">
        <v>13</v>
      </c>
      <c r="N250">
        <v>13</v>
      </c>
      <c r="O250">
        <v>0</v>
      </c>
      <c r="P250">
        <v>0</v>
      </c>
      <c r="Q250">
        <v>0</v>
      </c>
      <c r="R250">
        <v>13</v>
      </c>
      <c r="S250" t="s">
        <v>110</v>
      </c>
      <c r="T250" t="s">
        <v>111</v>
      </c>
      <c r="U250">
        <v>10000064</v>
      </c>
      <c r="Y250" t="s">
        <v>108</v>
      </c>
      <c r="Z250" t="s">
        <v>109</v>
      </c>
    </row>
    <row r="251" spans="1:26" x14ac:dyDescent="0.45">
      <c r="A251" t="s">
        <v>26</v>
      </c>
      <c r="B251">
        <v>151451990</v>
      </c>
      <c r="C251">
        <v>10001013</v>
      </c>
      <c r="D251" t="s">
        <v>27</v>
      </c>
      <c r="E251" t="s">
        <v>28</v>
      </c>
      <c r="F251">
        <v>348467</v>
      </c>
      <c r="G251">
        <v>5594643293</v>
      </c>
      <c r="H251">
        <v>24193581</v>
      </c>
      <c r="I251" t="s">
        <v>29</v>
      </c>
      <c r="K251" t="s">
        <v>30</v>
      </c>
      <c r="L251" t="s">
        <v>40</v>
      </c>
      <c r="M251">
        <v>13</v>
      </c>
      <c r="N251">
        <v>13</v>
      </c>
      <c r="O251">
        <v>0</v>
      </c>
      <c r="P251">
        <v>0</v>
      </c>
      <c r="Q251">
        <v>0</v>
      </c>
      <c r="R251">
        <v>13</v>
      </c>
      <c r="S251" t="s">
        <v>110</v>
      </c>
      <c r="T251" t="s">
        <v>111</v>
      </c>
      <c r="U251">
        <v>10001013</v>
      </c>
      <c r="Y251" t="s">
        <v>108</v>
      </c>
      <c r="Z251" t="s">
        <v>109</v>
      </c>
    </row>
    <row r="252" spans="1:26" x14ac:dyDescent="0.45">
      <c r="A252" t="s">
        <v>26</v>
      </c>
      <c r="B252">
        <v>151456274</v>
      </c>
      <c r="C252">
        <v>10000064</v>
      </c>
      <c r="D252" t="s">
        <v>27</v>
      </c>
      <c r="E252" t="s">
        <v>28</v>
      </c>
      <c r="F252">
        <v>346072</v>
      </c>
      <c r="G252">
        <v>5524665347</v>
      </c>
      <c r="H252">
        <v>24472122</v>
      </c>
      <c r="I252" t="s">
        <v>29</v>
      </c>
      <c r="K252" t="s">
        <v>30</v>
      </c>
      <c r="L252" t="s">
        <v>40</v>
      </c>
      <c r="M252">
        <v>13</v>
      </c>
      <c r="N252">
        <v>13</v>
      </c>
      <c r="O252">
        <v>0</v>
      </c>
      <c r="P252">
        <v>0</v>
      </c>
      <c r="Q252">
        <v>0</v>
      </c>
      <c r="R252">
        <v>13</v>
      </c>
      <c r="S252" t="s">
        <v>110</v>
      </c>
      <c r="T252" t="s">
        <v>111</v>
      </c>
      <c r="U252">
        <v>10000064</v>
      </c>
      <c r="Y252" t="s">
        <v>108</v>
      </c>
      <c r="Z252" t="s">
        <v>109</v>
      </c>
    </row>
    <row r="253" spans="1:26" x14ac:dyDescent="0.45">
      <c r="A253" t="s">
        <v>26</v>
      </c>
      <c r="B253">
        <v>151456294</v>
      </c>
      <c r="C253">
        <v>10001013</v>
      </c>
      <c r="D253" t="s">
        <v>27</v>
      </c>
      <c r="E253" t="s">
        <v>28</v>
      </c>
      <c r="F253">
        <v>353923</v>
      </c>
      <c r="G253">
        <v>5581647899</v>
      </c>
      <c r="H253">
        <v>24229396</v>
      </c>
      <c r="I253" t="s">
        <v>29</v>
      </c>
      <c r="K253" t="s">
        <v>30</v>
      </c>
      <c r="L253" t="s">
        <v>45</v>
      </c>
      <c r="M253">
        <v>67.999999990000006</v>
      </c>
      <c r="N253">
        <v>13</v>
      </c>
      <c r="O253">
        <v>55.000000002999997</v>
      </c>
      <c r="P253">
        <v>0</v>
      </c>
      <c r="Q253">
        <v>0</v>
      </c>
      <c r="R253">
        <v>67.999999990000006</v>
      </c>
      <c r="S253" t="s">
        <v>110</v>
      </c>
      <c r="T253" t="s">
        <v>119</v>
      </c>
      <c r="U253">
        <v>10001013</v>
      </c>
      <c r="Y253" t="s">
        <v>108</v>
      </c>
      <c r="Z253" t="s">
        <v>109</v>
      </c>
    </row>
    <row r="254" spans="1:26" x14ac:dyDescent="0.45">
      <c r="A254" t="s">
        <v>26</v>
      </c>
      <c r="B254">
        <v>151456324</v>
      </c>
      <c r="C254">
        <v>10000064</v>
      </c>
      <c r="D254" t="s">
        <v>27</v>
      </c>
      <c r="E254" t="s">
        <v>28</v>
      </c>
      <c r="F254">
        <v>346072</v>
      </c>
      <c r="G254">
        <v>5524665378</v>
      </c>
      <c r="H254">
        <v>24472126</v>
      </c>
      <c r="I254" t="s">
        <v>29</v>
      </c>
      <c r="K254" t="s">
        <v>30</v>
      </c>
      <c r="L254" t="s">
        <v>40</v>
      </c>
      <c r="M254">
        <v>67.999999990000006</v>
      </c>
      <c r="N254">
        <v>13</v>
      </c>
      <c r="O254">
        <v>55.000000002999997</v>
      </c>
      <c r="P254">
        <v>0</v>
      </c>
      <c r="Q254">
        <v>0</v>
      </c>
      <c r="R254">
        <v>67.999999990000006</v>
      </c>
      <c r="S254" t="s">
        <v>113</v>
      </c>
      <c r="T254" t="s">
        <v>119</v>
      </c>
      <c r="U254">
        <v>10000064</v>
      </c>
      <c r="Y254" t="s">
        <v>108</v>
      </c>
      <c r="Z254" t="s">
        <v>109</v>
      </c>
    </row>
    <row r="255" spans="1:26" x14ac:dyDescent="0.45">
      <c r="A255" t="s">
        <v>26</v>
      </c>
      <c r="B255">
        <v>151507530</v>
      </c>
      <c r="C255">
        <v>10000064</v>
      </c>
      <c r="D255" t="s">
        <v>27</v>
      </c>
      <c r="E255" t="s">
        <v>28</v>
      </c>
      <c r="F255">
        <v>348485</v>
      </c>
      <c r="G255">
        <v>5555558906</v>
      </c>
      <c r="H255">
        <v>25179692</v>
      </c>
      <c r="I255" t="s">
        <v>29</v>
      </c>
      <c r="K255" t="s">
        <v>30</v>
      </c>
      <c r="L255" t="s">
        <v>42</v>
      </c>
      <c r="M255">
        <v>262.99999998999999</v>
      </c>
      <c r="N255">
        <v>262.99999998999999</v>
      </c>
      <c r="O255">
        <v>0</v>
      </c>
      <c r="P255">
        <v>0</v>
      </c>
      <c r="Q255">
        <v>0</v>
      </c>
      <c r="R255">
        <v>262.99999998999999</v>
      </c>
      <c r="S255" t="s">
        <v>110</v>
      </c>
      <c r="T255" t="s">
        <v>38</v>
      </c>
      <c r="U255">
        <v>10000064</v>
      </c>
      <c r="Y255" t="s">
        <v>108</v>
      </c>
      <c r="Z255" t="s">
        <v>109</v>
      </c>
    </row>
    <row r="256" spans="1:26" x14ac:dyDescent="0.45">
      <c r="A256" t="s">
        <v>26</v>
      </c>
      <c r="B256">
        <v>151460687</v>
      </c>
      <c r="C256">
        <v>10000064</v>
      </c>
      <c r="D256" t="s">
        <v>27</v>
      </c>
      <c r="E256" t="s">
        <v>28</v>
      </c>
      <c r="F256">
        <v>348485</v>
      </c>
      <c r="G256">
        <v>5526505112</v>
      </c>
      <c r="H256">
        <v>24298269</v>
      </c>
      <c r="I256" t="s">
        <v>29</v>
      </c>
      <c r="K256" t="s">
        <v>30</v>
      </c>
      <c r="L256" t="s">
        <v>31</v>
      </c>
      <c r="M256">
        <v>-7.0000000005</v>
      </c>
      <c r="N256">
        <v>13</v>
      </c>
      <c r="O256">
        <v>-20.000000000499998</v>
      </c>
      <c r="P256">
        <v>0</v>
      </c>
      <c r="Q256">
        <v>0</v>
      </c>
      <c r="R256">
        <v>-7.0000000005</v>
      </c>
      <c r="S256" t="s">
        <v>115</v>
      </c>
      <c r="T256" t="s">
        <v>107</v>
      </c>
      <c r="U256">
        <v>10000064</v>
      </c>
      <c r="Y256" t="s">
        <v>108</v>
      </c>
      <c r="Z256" t="s">
        <v>109</v>
      </c>
    </row>
    <row r="257" spans="1:26" x14ac:dyDescent="0.45">
      <c r="A257" t="s">
        <v>26</v>
      </c>
      <c r="B257">
        <v>151460691</v>
      </c>
      <c r="C257">
        <v>10000064</v>
      </c>
      <c r="D257" t="s">
        <v>27</v>
      </c>
      <c r="E257" t="s">
        <v>28</v>
      </c>
      <c r="F257">
        <v>346072</v>
      </c>
      <c r="G257">
        <v>5595011101</v>
      </c>
      <c r="H257">
        <v>24300518</v>
      </c>
      <c r="I257" t="s">
        <v>29</v>
      </c>
      <c r="K257" t="s">
        <v>30</v>
      </c>
      <c r="L257" t="s">
        <v>40</v>
      </c>
      <c r="M257">
        <v>67.999999990000006</v>
      </c>
      <c r="N257">
        <v>13</v>
      </c>
      <c r="O257">
        <v>55.000000002999997</v>
      </c>
      <c r="P257">
        <v>0</v>
      </c>
      <c r="Q257">
        <v>0</v>
      </c>
      <c r="R257">
        <v>67.999999990000006</v>
      </c>
      <c r="S257" t="s">
        <v>110</v>
      </c>
      <c r="T257" t="s">
        <v>119</v>
      </c>
      <c r="U257">
        <v>10000064</v>
      </c>
      <c r="Y257" t="s">
        <v>108</v>
      </c>
      <c r="Z257" t="s">
        <v>109</v>
      </c>
    </row>
    <row r="258" spans="1:26" x14ac:dyDescent="0.45">
      <c r="A258" t="s">
        <v>26</v>
      </c>
      <c r="B258">
        <v>151460739</v>
      </c>
      <c r="C258">
        <v>10000064</v>
      </c>
      <c r="D258" t="s">
        <v>27</v>
      </c>
      <c r="E258" t="s">
        <v>28</v>
      </c>
      <c r="F258">
        <v>346072</v>
      </c>
      <c r="G258">
        <v>5527910658</v>
      </c>
      <c r="H258">
        <v>24472161</v>
      </c>
      <c r="I258" t="s">
        <v>29</v>
      </c>
      <c r="K258" t="s">
        <v>30</v>
      </c>
      <c r="L258" t="s">
        <v>47</v>
      </c>
      <c r="M258">
        <v>13</v>
      </c>
      <c r="N258">
        <v>13</v>
      </c>
      <c r="O258">
        <v>0</v>
      </c>
      <c r="P258">
        <v>0</v>
      </c>
      <c r="Q258">
        <v>0</v>
      </c>
      <c r="R258">
        <v>13</v>
      </c>
      <c r="S258" t="s">
        <v>113</v>
      </c>
      <c r="T258" t="s">
        <v>111</v>
      </c>
      <c r="U258">
        <v>10000064</v>
      </c>
      <c r="Y258" t="s">
        <v>108</v>
      </c>
      <c r="Z258" t="s">
        <v>109</v>
      </c>
    </row>
    <row r="259" spans="1:26" x14ac:dyDescent="0.45">
      <c r="A259" t="s">
        <v>26</v>
      </c>
      <c r="B259">
        <v>151460750</v>
      </c>
      <c r="C259">
        <v>10001013</v>
      </c>
      <c r="D259" t="s">
        <v>27</v>
      </c>
      <c r="E259" t="s">
        <v>28</v>
      </c>
      <c r="F259">
        <v>348467</v>
      </c>
      <c r="G259">
        <v>5556535203</v>
      </c>
      <c r="H259">
        <v>24292780</v>
      </c>
      <c r="I259" t="s">
        <v>29</v>
      </c>
      <c r="K259" t="s">
        <v>30</v>
      </c>
      <c r="L259" t="s">
        <v>42</v>
      </c>
      <c r="M259">
        <v>13</v>
      </c>
      <c r="N259">
        <v>13</v>
      </c>
      <c r="O259">
        <v>0</v>
      </c>
      <c r="P259">
        <v>0</v>
      </c>
      <c r="Q259">
        <v>0</v>
      </c>
      <c r="R259">
        <v>13</v>
      </c>
      <c r="S259" t="s">
        <v>115</v>
      </c>
      <c r="T259" t="s">
        <v>111</v>
      </c>
      <c r="U259">
        <v>10001013</v>
      </c>
      <c r="Y259" t="s">
        <v>108</v>
      </c>
      <c r="Z259" t="s">
        <v>109</v>
      </c>
    </row>
    <row r="260" spans="1:26" x14ac:dyDescent="0.45">
      <c r="A260" t="s">
        <v>26</v>
      </c>
      <c r="B260">
        <v>151460807</v>
      </c>
      <c r="C260">
        <v>10000064</v>
      </c>
      <c r="D260" t="s">
        <v>27</v>
      </c>
      <c r="E260" t="s">
        <v>28</v>
      </c>
      <c r="F260">
        <v>346072</v>
      </c>
      <c r="G260">
        <v>5557034023</v>
      </c>
      <c r="H260">
        <v>24521664</v>
      </c>
      <c r="I260" t="s">
        <v>29</v>
      </c>
      <c r="K260" t="s">
        <v>30</v>
      </c>
      <c r="L260" t="s">
        <v>40</v>
      </c>
      <c r="M260">
        <v>13</v>
      </c>
      <c r="N260">
        <v>13</v>
      </c>
      <c r="O260">
        <v>0</v>
      </c>
      <c r="P260">
        <v>0</v>
      </c>
      <c r="Q260">
        <v>0</v>
      </c>
      <c r="R260">
        <v>13</v>
      </c>
      <c r="S260" t="s">
        <v>110</v>
      </c>
      <c r="T260" t="s">
        <v>111</v>
      </c>
      <c r="U260">
        <v>10000064</v>
      </c>
      <c r="Y260" t="s">
        <v>108</v>
      </c>
      <c r="Z260" t="s">
        <v>109</v>
      </c>
    </row>
    <row r="261" spans="1:26" x14ac:dyDescent="0.45">
      <c r="A261" t="s">
        <v>26</v>
      </c>
      <c r="B261">
        <v>151462717</v>
      </c>
      <c r="C261">
        <v>10000064</v>
      </c>
      <c r="D261" t="s">
        <v>27</v>
      </c>
      <c r="E261" t="s">
        <v>28</v>
      </c>
      <c r="F261">
        <v>346072</v>
      </c>
      <c r="G261">
        <v>5517134436</v>
      </c>
      <c r="H261">
        <v>24498639</v>
      </c>
      <c r="I261" t="s">
        <v>29</v>
      </c>
      <c r="K261" t="s">
        <v>30</v>
      </c>
      <c r="L261" t="s">
        <v>40</v>
      </c>
      <c r="M261">
        <v>13</v>
      </c>
      <c r="N261">
        <v>13</v>
      </c>
      <c r="O261">
        <v>0</v>
      </c>
      <c r="P261">
        <v>0</v>
      </c>
      <c r="Q261">
        <v>0</v>
      </c>
      <c r="R261">
        <v>13</v>
      </c>
      <c r="S261" t="s">
        <v>110</v>
      </c>
      <c r="T261" t="s">
        <v>111</v>
      </c>
      <c r="U261">
        <v>10000064</v>
      </c>
      <c r="Y261" t="s">
        <v>108</v>
      </c>
      <c r="Z261" t="s">
        <v>109</v>
      </c>
    </row>
    <row r="262" spans="1:26" x14ac:dyDescent="0.45">
      <c r="A262" t="s">
        <v>26</v>
      </c>
      <c r="B262">
        <v>151462743</v>
      </c>
      <c r="C262">
        <v>10000064</v>
      </c>
      <c r="D262" t="s">
        <v>27</v>
      </c>
      <c r="E262" t="s">
        <v>28</v>
      </c>
      <c r="F262">
        <v>346072</v>
      </c>
      <c r="G262">
        <v>5517134240</v>
      </c>
      <c r="H262">
        <v>24343482</v>
      </c>
      <c r="I262" t="s">
        <v>29</v>
      </c>
      <c r="K262" t="s">
        <v>30</v>
      </c>
      <c r="L262" t="s">
        <v>40</v>
      </c>
      <c r="M262">
        <v>13</v>
      </c>
      <c r="N262">
        <v>13</v>
      </c>
      <c r="O262">
        <v>0</v>
      </c>
      <c r="P262">
        <v>0</v>
      </c>
      <c r="Q262">
        <v>0</v>
      </c>
      <c r="R262">
        <v>13</v>
      </c>
      <c r="S262" t="s">
        <v>113</v>
      </c>
      <c r="T262" t="s">
        <v>111</v>
      </c>
      <c r="U262">
        <v>10000064</v>
      </c>
      <c r="Y262" t="s">
        <v>108</v>
      </c>
      <c r="Z262" t="s">
        <v>109</v>
      </c>
    </row>
    <row r="263" spans="1:26" x14ac:dyDescent="0.45">
      <c r="A263" t="s">
        <v>26</v>
      </c>
      <c r="B263">
        <v>151462818</v>
      </c>
      <c r="C263">
        <v>10000064</v>
      </c>
      <c r="D263" t="s">
        <v>27</v>
      </c>
      <c r="E263" t="s">
        <v>28</v>
      </c>
      <c r="F263">
        <v>348485</v>
      </c>
      <c r="G263">
        <v>5555485974</v>
      </c>
      <c r="H263">
        <v>24338358</v>
      </c>
      <c r="I263" t="s">
        <v>29</v>
      </c>
      <c r="K263" t="s">
        <v>30</v>
      </c>
      <c r="L263" t="s">
        <v>42</v>
      </c>
      <c r="M263">
        <v>13</v>
      </c>
      <c r="N263">
        <v>13</v>
      </c>
      <c r="O263">
        <v>0</v>
      </c>
      <c r="P263">
        <v>0</v>
      </c>
      <c r="Q263">
        <v>0</v>
      </c>
      <c r="R263">
        <v>13</v>
      </c>
      <c r="S263" t="s">
        <v>110</v>
      </c>
      <c r="T263" t="s">
        <v>111</v>
      </c>
      <c r="U263">
        <v>10000064</v>
      </c>
      <c r="Y263" t="s">
        <v>108</v>
      </c>
      <c r="Z263" t="s">
        <v>109</v>
      </c>
    </row>
    <row r="264" spans="1:26" x14ac:dyDescent="0.45">
      <c r="A264" t="s">
        <v>26</v>
      </c>
      <c r="B264">
        <v>151462935</v>
      </c>
      <c r="C264">
        <v>10001013</v>
      </c>
      <c r="D264" t="s">
        <v>27</v>
      </c>
      <c r="E264" t="s">
        <v>28</v>
      </c>
      <c r="F264">
        <v>353923</v>
      </c>
      <c r="G264">
        <v>5556955318</v>
      </c>
      <c r="H264">
        <v>24337685</v>
      </c>
      <c r="I264" t="s">
        <v>29</v>
      </c>
      <c r="K264" t="s">
        <v>30</v>
      </c>
      <c r="L264" t="s">
        <v>39</v>
      </c>
      <c r="M264">
        <v>13</v>
      </c>
      <c r="N264">
        <v>13</v>
      </c>
      <c r="O264">
        <v>0</v>
      </c>
      <c r="P264">
        <v>0</v>
      </c>
      <c r="Q264">
        <v>0</v>
      </c>
      <c r="R264">
        <v>13</v>
      </c>
      <c r="S264" t="s">
        <v>121</v>
      </c>
      <c r="T264" t="s">
        <v>111</v>
      </c>
      <c r="U264">
        <v>10001013</v>
      </c>
      <c r="Y264" t="s">
        <v>108</v>
      </c>
      <c r="Z264" t="s">
        <v>109</v>
      </c>
    </row>
    <row r="265" spans="1:26" x14ac:dyDescent="0.45">
      <c r="A265" t="s">
        <v>26</v>
      </c>
      <c r="B265">
        <v>151462960</v>
      </c>
      <c r="C265">
        <v>10001013</v>
      </c>
      <c r="D265" t="s">
        <v>27</v>
      </c>
      <c r="E265" t="s">
        <v>28</v>
      </c>
      <c r="F265">
        <v>353923</v>
      </c>
      <c r="G265">
        <v>5596432717</v>
      </c>
      <c r="H265">
        <v>24343153</v>
      </c>
      <c r="I265" t="s">
        <v>29</v>
      </c>
      <c r="K265" t="s">
        <v>30</v>
      </c>
      <c r="L265" t="s">
        <v>47</v>
      </c>
      <c r="M265">
        <v>13</v>
      </c>
      <c r="N265">
        <v>13</v>
      </c>
      <c r="O265">
        <v>0</v>
      </c>
      <c r="P265">
        <v>0</v>
      </c>
      <c r="Q265">
        <v>0</v>
      </c>
      <c r="R265">
        <v>13</v>
      </c>
      <c r="S265" t="s">
        <v>110</v>
      </c>
      <c r="T265" t="s">
        <v>111</v>
      </c>
      <c r="U265">
        <v>10001013</v>
      </c>
      <c r="Y265" t="s">
        <v>108</v>
      </c>
      <c r="Z265" t="s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59"/>
  <sheetViews>
    <sheetView workbookViewId="0"/>
  </sheetViews>
  <sheetFormatPr baseColWidth="10" defaultColWidth="9.06640625" defaultRowHeight="14.25" x14ac:dyDescent="0.45"/>
  <cols>
    <col min="2" max="2" width="21.19921875" customWidth="1"/>
  </cols>
  <sheetData>
    <row r="1" spans="1:2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25</v>
      </c>
    </row>
    <row r="2" spans="1:29" x14ac:dyDescent="0.45">
      <c r="A2" t="s">
        <v>26</v>
      </c>
      <c r="B2">
        <v>151375639</v>
      </c>
      <c r="C2">
        <v>10001013</v>
      </c>
      <c r="D2" t="s">
        <v>27</v>
      </c>
      <c r="E2" t="s">
        <v>28</v>
      </c>
      <c r="F2">
        <v>350677</v>
      </c>
      <c r="G2">
        <v>5524665760</v>
      </c>
      <c r="H2">
        <v>22623094</v>
      </c>
      <c r="I2" t="s">
        <v>29</v>
      </c>
      <c r="K2" t="s">
        <v>30</v>
      </c>
      <c r="L2" t="s">
        <v>31</v>
      </c>
      <c r="M2">
        <v>0</v>
      </c>
      <c r="N2">
        <v>0</v>
      </c>
      <c r="O2">
        <v>49.999999998</v>
      </c>
      <c r="P2">
        <v>0</v>
      </c>
      <c r="Q2">
        <v>0</v>
      </c>
      <c r="R2">
        <v>49.999999998</v>
      </c>
      <c r="S2" t="s">
        <v>115</v>
      </c>
      <c r="T2" t="s">
        <v>33</v>
      </c>
      <c r="U2">
        <v>10001013</v>
      </c>
      <c r="Y2" t="s">
        <v>80</v>
      </c>
      <c r="AC2" t="s">
        <v>126</v>
      </c>
    </row>
    <row r="3" spans="1:29" x14ac:dyDescent="0.45">
      <c r="A3" t="s">
        <v>26</v>
      </c>
      <c r="B3">
        <v>151428449</v>
      </c>
      <c r="C3">
        <v>10000064</v>
      </c>
      <c r="D3" t="s">
        <v>27</v>
      </c>
      <c r="E3" t="s">
        <v>28</v>
      </c>
      <c r="F3">
        <v>348485</v>
      </c>
      <c r="G3">
        <v>5552760252</v>
      </c>
      <c r="H3">
        <v>23872387</v>
      </c>
      <c r="I3" t="s">
        <v>29</v>
      </c>
      <c r="K3" t="s">
        <v>30</v>
      </c>
      <c r="L3" t="s">
        <v>36</v>
      </c>
      <c r="M3">
        <v>150.00000001999999</v>
      </c>
      <c r="N3">
        <v>0</v>
      </c>
      <c r="O3">
        <v>0</v>
      </c>
      <c r="P3">
        <v>0</v>
      </c>
      <c r="Q3">
        <v>0</v>
      </c>
      <c r="R3">
        <v>150.00000001999999</v>
      </c>
      <c r="S3" t="s">
        <v>110</v>
      </c>
      <c r="T3" t="s">
        <v>38</v>
      </c>
      <c r="U3">
        <v>10000064</v>
      </c>
      <c r="Y3" t="s">
        <v>80</v>
      </c>
      <c r="AC3" t="s">
        <v>126</v>
      </c>
    </row>
    <row r="4" spans="1:29" x14ac:dyDescent="0.45">
      <c r="A4" t="s">
        <v>26</v>
      </c>
      <c r="B4">
        <v>151419967</v>
      </c>
      <c r="C4">
        <v>10000064</v>
      </c>
      <c r="D4" t="s">
        <v>27</v>
      </c>
      <c r="E4" t="s">
        <v>28</v>
      </c>
      <c r="F4">
        <v>348485</v>
      </c>
      <c r="G4">
        <v>5558416979</v>
      </c>
      <c r="H4">
        <v>23788939</v>
      </c>
      <c r="I4" t="s">
        <v>29</v>
      </c>
      <c r="K4" t="s">
        <v>30</v>
      </c>
      <c r="L4" t="s">
        <v>39</v>
      </c>
      <c r="M4">
        <v>150.00000001999999</v>
      </c>
      <c r="N4">
        <v>0</v>
      </c>
      <c r="O4">
        <v>0</v>
      </c>
      <c r="P4">
        <v>0</v>
      </c>
      <c r="Q4">
        <v>0</v>
      </c>
      <c r="R4">
        <v>150.00000001999999</v>
      </c>
      <c r="S4" t="s">
        <v>115</v>
      </c>
      <c r="T4" t="s">
        <v>38</v>
      </c>
      <c r="U4">
        <v>10000064</v>
      </c>
      <c r="Y4" t="s">
        <v>80</v>
      </c>
      <c r="AC4" t="s">
        <v>126</v>
      </c>
    </row>
    <row r="5" spans="1:29" x14ac:dyDescent="0.45">
      <c r="A5" t="s">
        <v>26</v>
      </c>
      <c r="B5">
        <v>151419851</v>
      </c>
      <c r="C5">
        <v>10000064</v>
      </c>
      <c r="D5" t="s">
        <v>27</v>
      </c>
      <c r="E5" t="s">
        <v>28</v>
      </c>
      <c r="F5">
        <v>348485</v>
      </c>
      <c r="G5">
        <v>5558415444</v>
      </c>
      <c r="H5">
        <v>23788517</v>
      </c>
      <c r="I5" t="s">
        <v>29</v>
      </c>
      <c r="K5" t="s">
        <v>30</v>
      </c>
      <c r="L5" t="s">
        <v>39</v>
      </c>
      <c r="M5">
        <v>150.00000001999999</v>
      </c>
      <c r="N5">
        <v>0</v>
      </c>
      <c r="O5">
        <v>0</v>
      </c>
      <c r="P5">
        <v>0</v>
      </c>
      <c r="Q5">
        <v>0</v>
      </c>
      <c r="R5">
        <v>150.00000001999999</v>
      </c>
      <c r="S5" t="s">
        <v>115</v>
      </c>
      <c r="T5" t="s">
        <v>38</v>
      </c>
      <c r="U5">
        <v>10000064</v>
      </c>
      <c r="Y5" t="s">
        <v>80</v>
      </c>
      <c r="AC5" t="s">
        <v>126</v>
      </c>
    </row>
    <row r="6" spans="1:29" x14ac:dyDescent="0.45">
      <c r="A6" t="s">
        <v>26</v>
      </c>
      <c r="B6">
        <v>151417029</v>
      </c>
      <c r="C6">
        <v>10001013</v>
      </c>
      <c r="D6" t="s">
        <v>27</v>
      </c>
      <c r="E6" t="s">
        <v>28</v>
      </c>
      <c r="F6">
        <v>345495</v>
      </c>
      <c r="G6">
        <v>5558107022</v>
      </c>
      <c r="H6">
        <v>23802224</v>
      </c>
      <c r="I6" t="s">
        <v>29</v>
      </c>
      <c r="K6" t="s">
        <v>30</v>
      </c>
      <c r="L6" t="s">
        <v>40</v>
      </c>
      <c r="M6">
        <v>150.00000001999999</v>
      </c>
      <c r="N6">
        <v>0</v>
      </c>
      <c r="O6">
        <v>0</v>
      </c>
      <c r="P6">
        <v>0</v>
      </c>
      <c r="Q6">
        <v>0</v>
      </c>
      <c r="R6">
        <v>150.00000001999999</v>
      </c>
      <c r="S6" t="s">
        <v>110</v>
      </c>
      <c r="T6" t="s">
        <v>38</v>
      </c>
      <c r="U6">
        <v>10001013</v>
      </c>
      <c r="Y6" t="s">
        <v>80</v>
      </c>
      <c r="AC6" t="s">
        <v>126</v>
      </c>
    </row>
    <row r="7" spans="1:29" x14ac:dyDescent="0.45">
      <c r="A7" t="s">
        <v>26</v>
      </c>
      <c r="B7">
        <v>151413164</v>
      </c>
      <c r="C7">
        <v>10000064</v>
      </c>
      <c r="D7" t="s">
        <v>27</v>
      </c>
      <c r="E7" t="s">
        <v>28</v>
      </c>
      <c r="F7">
        <v>352529</v>
      </c>
      <c r="G7">
        <v>5595608513</v>
      </c>
      <c r="H7">
        <v>23437284</v>
      </c>
      <c r="I7" t="s">
        <v>29</v>
      </c>
      <c r="K7" t="s">
        <v>30</v>
      </c>
      <c r="L7" t="s">
        <v>40</v>
      </c>
      <c r="M7">
        <v>150.00000001999999</v>
      </c>
      <c r="N7">
        <v>0</v>
      </c>
      <c r="O7">
        <v>0</v>
      </c>
      <c r="P7">
        <v>0</v>
      </c>
      <c r="Q7">
        <v>0</v>
      </c>
      <c r="R7">
        <v>150.00000001999999</v>
      </c>
      <c r="S7" t="s">
        <v>118</v>
      </c>
      <c r="T7" t="s">
        <v>38</v>
      </c>
      <c r="U7">
        <v>10000064</v>
      </c>
      <c r="Y7" t="s">
        <v>80</v>
      </c>
      <c r="AC7" t="s">
        <v>126</v>
      </c>
    </row>
    <row r="8" spans="1:29" x14ac:dyDescent="0.45">
      <c r="A8" t="s">
        <v>26</v>
      </c>
      <c r="B8">
        <v>151388573</v>
      </c>
      <c r="C8">
        <v>10001013</v>
      </c>
      <c r="D8" t="s">
        <v>27</v>
      </c>
      <c r="E8" t="s">
        <v>28</v>
      </c>
      <c r="F8">
        <v>351030</v>
      </c>
      <c r="G8">
        <v>5521569682</v>
      </c>
      <c r="H8">
        <v>22923355</v>
      </c>
      <c r="I8" t="s">
        <v>29</v>
      </c>
      <c r="K8" t="s">
        <v>30</v>
      </c>
      <c r="L8" t="s">
        <v>40</v>
      </c>
      <c r="M8">
        <v>0</v>
      </c>
      <c r="N8">
        <v>0</v>
      </c>
      <c r="O8">
        <v>49.999999998</v>
      </c>
      <c r="P8">
        <v>0</v>
      </c>
      <c r="Q8">
        <v>0</v>
      </c>
      <c r="R8">
        <v>49.999999998</v>
      </c>
      <c r="S8" t="s">
        <v>110</v>
      </c>
      <c r="T8" t="s">
        <v>33</v>
      </c>
      <c r="U8">
        <v>10001013</v>
      </c>
      <c r="Y8" t="s">
        <v>80</v>
      </c>
      <c r="AC8" t="s">
        <v>126</v>
      </c>
    </row>
    <row r="9" spans="1:29" x14ac:dyDescent="0.45">
      <c r="A9" t="s">
        <v>26</v>
      </c>
      <c r="B9">
        <v>151384434</v>
      </c>
      <c r="C9">
        <v>10000064</v>
      </c>
      <c r="D9" t="s">
        <v>27</v>
      </c>
      <c r="E9" t="s">
        <v>28</v>
      </c>
      <c r="F9">
        <v>346072</v>
      </c>
      <c r="G9">
        <v>5551626672</v>
      </c>
      <c r="H9">
        <v>22759030</v>
      </c>
      <c r="I9" t="s">
        <v>29</v>
      </c>
      <c r="K9" t="s">
        <v>30</v>
      </c>
      <c r="L9" t="s">
        <v>42</v>
      </c>
      <c r="M9">
        <v>0</v>
      </c>
      <c r="N9">
        <v>0</v>
      </c>
      <c r="O9">
        <v>49.999999998</v>
      </c>
      <c r="P9">
        <v>0</v>
      </c>
      <c r="Q9">
        <v>0</v>
      </c>
      <c r="R9">
        <v>49.999999998</v>
      </c>
      <c r="S9" t="s">
        <v>127</v>
      </c>
      <c r="T9" t="s">
        <v>33</v>
      </c>
      <c r="U9">
        <v>10000064</v>
      </c>
      <c r="Y9" t="s">
        <v>80</v>
      </c>
      <c r="AC9" t="s">
        <v>126</v>
      </c>
    </row>
    <row r="10" spans="1:29" x14ac:dyDescent="0.45">
      <c r="A10" t="s">
        <v>26</v>
      </c>
      <c r="B10">
        <v>151381589</v>
      </c>
      <c r="C10">
        <v>10001013</v>
      </c>
      <c r="D10" t="s">
        <v>27</v>
      </c>
      <c r="E10" t="s">
        <v>28</v>
      </c>
      <c r="F10">
        <v>351030</v>
      </c>
      <c r="G10">
        <v>5522085628</v>
      </c>
      <c r="H10">
        <v>22726751</v>
      </c>
      <c r="I10" t="s">
        <v>29</v>
      </c>
      <c r="K10" t="s">
        <v>30</v>
      </c>
      <c r="L10" t="s">
        <v>42</v>
      </c>
      <c r="M10">
        <v>0</v>
      </c>
      <c r="N10">
        <v>0</v>
      </c>
      <c r="O10">
        <v>49.999999998</v>
      </c>
      <c r="P10">
        <v>0</v>
      </c>
      <c r="Q10">
        <v>0</v>
      </c>
      <c r="R10">
        <v>49.999999998</v>
      </c>
      <c r="S10" t="s">
        <v>110</v>
      </c>
      <c r="T10" t="s">
        <v>33</v>
      </c>
      <c r="U10">
        <v>10001013</v>
      </c>
      <c r="Y10" t="s">
        <v>80</v>
      </c>
      <c r="AC10" t="s">
        <v>126</v>
      </c>
    </row>
    <row r="11" spans="1:29" x14ac:dyDescent="0.45">
      <c r="A11" t="s">
        <v>26</v>
      </c>
      <c r="B11">
        <v>151243535</v>
      </c>
      <c r="C11">
        <v>10000064</v>
      </c>
      <c r="D11" t="s">
        <v>27</v>
      </c>
      <c r="E11" t="s">
        <v>28</v>
      </c>
      <c r="F11">
        <v>329069</v>
      </c>
      <c r="G11">
        <v>5559198037</v>
      </c>
      <c r="H11">
        <v>20964375</v>
      </c>
      <c r="I11" t="s">
        <v>29</v>
      </c>
      <c r="K11" t="s">
        <v>30</v>
      </c>
      <c r="L11" t="s">
        <v>42</v>
      </c>
      <c r="M11">
        <v>0</v>
      </c>
      <c r="N11">
        <v>0</v>
      </c>
      <c r="O11">
        <v>49.999999998</v>
      </c>
      <c r="P11">
        <v>0</v>
      </c>
      <c r="Q11">
        <v>0</v>
      </c>
      <c r="R11">
        <v>49.999999998</v>
      </c>
      <c r="S11" t="s">
        <v>110</v>
      </c>
      <c r="T11" t="s">
        <v>33</v>
      </c>
      <c r="U11">
        <v>10000064</v>
      </c>
      <c r="Y11" t="s">
        <v>80</v>
      </c>
      <c r="AC11" t="s">
        <v>126</v>
      </c>
    </row>
    <row r="12" spans="1:29" x14ac:dyDescent="0.45">
      <c r="A12" t="s">
        <v>26</v>
      </c>
      <c r="B12">
        <v>151375541</v>
      </c>
      <c r="C12">
        <v>10001013</v>
      </c>
      <c r="D12" t="s">
        <v>27</v>
      </c>
      <c r="E12" t="s">
        <v>28</v>
      </c>
      <c r="F12">
        <v>350677</v>
      </c>
      <c r="G12">
        <v>5593396508</v>
      </c>
      <c r="H12">
        <v>22624366</v>
      </c>
      <c r="I12" t="s">
        <v>29</v>
      </c>
      <c r="K12" t="s">
        <v>30</v>
      </c>
      <c r="L12" t="s">
        <v>40</v>
      </c>
      <c r="M12">
        <v>0</v>
      </c>
      <c r="N12">
        <v>0</v>
      </c>
      <c r="O12">
        <v>49.999999998</v>
      </c>
      <c r="P12">
        <v>0</v>
      </c>
      <c r="Q12">
        <v>0</v>
      </c>
      <c r="R12">
        <v>49.999999998</v>
      </c>
      <c r="S12" t="s">
        <v>110</v>
      </c>
      <c r="T12" t="s">
        <v>33</v>
      </c>
      <c r="U12">
        <v>10001013</v>
      </c>
      <c r="Y12" t="s">
        <v>80</v>
      </c>
      <c r="AC12" t="s">
        <v>126</v>
      </c>
    </row>
    <row r="13" spans="1:29" x14ac:dyDescent="0.45">
      <c r="A13" t="s">
        <v>26</v>
      </c>
      <c r="B13">
        <v>151368590</v>
      </c>
      <c r="C13">
        <v>10000064</v>
      </c>
      <c r="D13" t="s">
        <v>27</v>
      </c>
      <c r="E13" t="s">
        <v>28</v>
      </c>
      <c r="F13">
        <v>346072</v>
      </c>
      <c r="G13">
        <v>5591806859</v>
      </c>
      <c r="H13">
        <v>22640228</v>
      </c>
      <c r="I13" t="s">
        <v>29</v>
      </c>
      <c r="K13" t="s">
        <v>30</v>
      </c>
      <c r="L13" t="s">
        <v>40</v>
      </c>
      <c r="M13">
        <v>0</v>
      </c>
      <c r="N13">
        <v>0</v>
      </c>
      <c r="O13">
        <v>49.999999998</v>
      </c>
      <c r="P13">
        <v>0</v>
      </c>
      <c r="Q13">
        <v>0</v>
      </c>
      <c r="R13">
        <v>49.999999998</v>
      </c>
      <c r="S13" t="s">
        <v>114</v>
      </c>
      <c r="T13" t="s">
        <v>33</v>
      </c>
      <c r="U13">
        <v>10000064</v>
      </c>
      <c r="Y13" t="s">
        <v>80</v>
      </c>
      <c r="AC13" t="s">
        <v>126</v>
      </c>
    </row>
    <row r="14" spans="1:29" x14ac:dyDescent="0.45">
      <c r="A14" t="s">
        <v>26</v>
      </c>
      <c r="B14">
        <v>151365726</v>
      </c>
      <c r="C14">
        <v>10000064</v>
      </c>
      <c r="D14" t="s">
        <v>27</v>
      </c>
      <c r="E14" t="s">
        <v>28</v>
      </c>
      <c r="F14">
        <v>346126</v>
      </c>
      <c r="G14">
        <v>5555487809</v>
      </c>
      <c r="H14">
        <v>22797314</v>
      </c>
      <c r="I14" t="s">
        <v>29</v>
      </c>
      <c r="K14" t="s">
        <v>30</v>
      </c>
      <c r="L14" t="s">
        <v>40</v>
      </c>
      <c r="M14">
        <v>0</v>
      </c>
      <c r="N14">
        <v>0</v>
      </c>
      <c r="O14">
        <v>49.999999998</v>
      </c>
      <c r="P14">
        <v>0</v>
      </c>
      <c r="Q14">
        <v>0</v>
      </c>
      <c r="R14">
        <v>49.999999998</v>
      </c>
      <c r="S14" t="s">
        <v>110</v>
      </c>
      <c r="T14" t="s">
        <v>33</v>
      </c>
      <c r="U14">
        <v>10000064</v>
      </c>
      <c r="Y14" t="s">
        <v>80</v>
      </c>
      <c r="AC14" t="s">
        <v>126</v>
      </c>
    </row>
    <row r="15" spans="1:29" x14ac:dyDescent="0.45">
      <c r="A15" t="s">
        <v>26</v>
      </c>
      <c r="B15">
        <v>151364767</v>
      </c>
      <c r="C15">
        <v>10001013</v>
      </c>
      <c r="D15" t="s">
        <v>27</v>
      </c>
      <c r="E15" t="s">
        <v>28</v>
      </c>
      <c r="F15">
        <v>345495</v>
      </c>
      <c r="G15">
        <v>5519408457</v>
      </c>
      <c r="H15">
        <v>22720293</v>
      </c>
      <c r="I15" t="s">
        <v>29</v>
      </c>
      <c r="K15" t="s">
        <v>30</v>
      </c>
      <c r="L15" t="s">
        <v>40</v>
      </c>
      <c r="M15">
        <v>0</v>
      </c>
      <c r="N15">
        <v>0</v>
      </c>
      <c r="O15">
        <v>49.999999998</v>
      </c>
      <c r="P15">
        <v>0</v>
      </c>
      <c r="Q15">
        <v>0</v>
      </c>
      <c r="R15">
        <v>49.999999998</v>
      </c>
      <c r="S15" t="s">
        <v>110</v>
      </c>
      <c r="T15" t="s">
        <v>33</v>
      </c>
      <c r="U15">
        <v>10001013</v>
      </c>
      <c r="Y15" t="s">
        <v>80</v>
      </c>
      <c r="AC15" t="s">
        <v>126</v>
      </c>
    </row>
    <row r="16" spans="1:29" x14ac:dyDescent="0.45">
      <c r="A16" t="s">
        <v>26</v>
      </c>
      <c r="B16">
        <v>151352921</v>
      </c>
      <c r="C16">
        <v>10001013</v>
      </c>
      <c r="D16" t="s">
        <v>27</v>
      </c>
      <c r="E16" t="s">
        <v>28</v>
      </c>
      <c r="F16">
        <v>348467</v>
      </c>
      <c r="G16">
        <v>5526135545</v>
      </c>
      <c r="H16">
        <v>22487717</v>
      </c>
      <c r="I16" t="s">
        <v>29</v>
      </c>
      <c r="K16" t="s">
        <v>30</v>
      </c>
      <c r="L16" t="s">
        <v>40</v>
      </c>
      <c r="M16">
        <v>0</v>
      </c>
      <c r="N16">
        <v>0</v>
      </c>
      <c r="O16">
        <v>49.999999998</v>
      </c>
      <c r="P16">
        <v>0</v>
      </c>
      <c r="Q16">
        <v>0</v>
      </c>
      <c r="R16">
        <v>49.999999998</v>
      </c>
      <c r="S16" t="s">
        <v>110</v>
      </c>
      <c r="T16" t="s">
        <v>33</v>
      </c>
      <c r="U16">
        <v>10001013</v>
      </c>
      <c r="Y16" t="s">
        <v>80</v>
      </c>
      <c r="AC16" t="s">
        <v>126</v>
      </c>
    </row>
    <row r="17" spans="1:29" x14ac:dyDescent="0.45">
      <c r="A17" t="s">
        <v>26</v>
      </c>
      <c r="B17">
        <v>151328060</v>
      </c>
      <c r="C17">
        <v>10000064</v>
      </c>
      <c r="D17" t="s">
        <v>27</v>
      </c>
      <c r="E17" t="s">
        <v>28</v>
      </c>
      <c r="F17">
        <v>348485</v>
      </c>
      <c r="G17">
        <v>5553860758</v>
      </c>
      <c r="H17">
        <v>22087667</v>
      </c>
      <c r="I17" t="s">
        <v>29</v>
      </c>
      <c r="K17" t="s">
        <v>30</v>
      </c>
      <c r="L17" t="s">
        <v>45</v>
      </c>
      <c r="M17">
        <v>0</v>
      </c>
      <c r="N17">
        <v>0</v>
      </c>
      <c r="O17">
        <v>49.999999998</v>
      </c>
      <c r="P17">
        <v>0</v>
      </c>
      <c r="Q17">
        <v>0</v>
      </c>
      <c r="R17">
        <v>49.999999998</v>
      </c>
      <c r="S17" t="s">
        <v>115</v>
      </c>
      <c r="T17" t="s">
        <v>33</v>
      </c>
      <c r="U17">
        <v>10000064</v>
      </c>
      <c r="Y17" t="s">
        <v>80</v>
      </c>
      <c r="AC17" t="s">
        <v>126</v>
      </c>
    </row>
    <row r="18" spans="1:29" x14ac:dyDescent="0.45">
      <c r="A18" t="s">
        <v>26</v>
      </c>
      <c r="B18">
        <v>151324616</v>
      </c>
      <c r="C18">
        <v>10000064</v>
      </c>
      <c r="D18" t="s">
        <v>27</v>
      </c>
      <c r="E18" t="s">
        <v>28</v>
      </c>
      <c r="F18">
        <v>346126</v>
      </c>
      <c r="G18">
        <v>5524652832</v>
      </c>
      <c r="H18">
        <v>22117421</v>
      </c>
      <c r="I18" t="s">
        <v>29</v>
      </c>
      <c r="K18" t="s">
        <v>30</v>
      </c>
      <c r="L18" t="s">
        <v>40</v>
      </c>
      <c r="M18">
        <v>0</v>
      </c>
      <c r="N18">
        <v>0</v>
      </c>
      <c r="O18">
        <v>49.999999998</v>
      </c>
      <c r="P18">
        <v>0</v>
      </c>
      <c r="Q18">
        <v>0</v>
      </c>
      <c r="R18">
        <v>49.999999998</v>
      </c>
      <c r="S18" t="s">
        <v>110</v>
      </c>
      <c r="T18" t="s">
        <v>33</v>
      </c>
      <c r="U18">
        <v>10000064</v>
      </c>
      <c r="Y18" t="s">
        <v>80</v>
      </c>
      <c r="AC18" t="s">
        <v>126</v>
      </c>
    </row>
    <row r="19" spans="1:29" x14ac:dyDescent="0.45">
      <c r="A19" t="s">
        <v>26</v>
      </c>
      <c r="B19">
        <v>151273140</v>
      </c>
      <c r="C19">
        <v>10000064</v>
      </c>
      <c r="D19" t="s">
        <v>27</v>
      </c>
      <c r="E19" t="s">
        <v>28</v>
      </c>
      <c r="F19">
        <v>345974</v>
      </c>
      <c r="G19">
        <v>5550384561</v>
      </c>
      <c r="H19">
        <v>21374232</v>
      </c>
      <c r="I19" t="s">
        <v>29</v>
      </c>
      <c r="K19" t="s">
        <v>30</v>
      </c>
      <c r="L19" t="s">
        <v>46</v>
      </c>
      <c r="M19">
        <v>0</v>
      </c>
      <c r="N19">
        <v>0</v>
      </c>
      <c r="O19">
        <v>49.999999998</v>
      </c>
      <c r="P19">
        <v>0</v>
      </c>
      <c r="Q19">
        <v>0</v>
      </c>
      <c r="R19">
        <v>49.999999998</v>
      </c>
      <c r="S19" t="s">
        <v>127</v>
      </c>
      <c r="T19" t="s">
        <v>33</v>
      </c>
      <c r="U19">
        <v>10000064</v>
      </c>
      <c r="Y19" t="s">
        <v>80</v>
      </c>
      <c r="AC19" t="s">
        <v>126</v>
      </c>
    </row>
    <row r="20" spans="1:29" x14ac:dyDescent="0.45">
      <c r="A20" t="s">
        <v>26</v>
      </c>
      <c r="B20">
        <v>151428398</v>
      </c>
      <c r="C20">
        <v>10001013</v>
      </c>
      <c r="D20" t="s">
        <v>27</v>
      </c>
      <c r="E20" t="s">
        <v>28</v>
      </c>
      <c r="F20">
        <v>348467</v>
      </c>
      <c r="G20">
        <v>5558434222</v>
      </c>
      <c r="H20">
        <v>23901714</v>
      </c>
      <c r="I20" t="s">
        <v>29</v>
      </c>
      <c r="K20" t="s">
        <v>30</v>
      </c>
      <c r="L20" t="s">
        <v>39</v>
      </c>
      <c r="M20">
        <v>150.00000001999999</v>
      </c>
      <c r="N20">
        <v>0</v>
      </c>
      <c r="O20">
        <v>0</v>
      </c>
      <c r="P20">
        <v>0</v>
      </c>
      <c r="Q20">
        <v>0</v>
      </c>
      <c r="R20">
        <v>150.00000001999999</v>
      </c>
      <c r="S20" t="s">
        <v>110</v>
      </c>
      <c r="T20" t="s">
        <v>38</v>
      </c>
      <c r="U20">
        <v>10001013</v>
      </c>
      <c r="Y20" t="s">
        <v>128</v>
      </c>
      <c r="AC20" t="s">
        <v>129</v>
      </c>
    </row>
    <row r="21" spans="1:29" x14ac:dyDescent="0.45">
      <c r="A21" t="s">
        <v>26</v>
      </c>
      <c r="B21">
        <v>151390549</v>
      </c>
      <c r="C21">
        <v>10001013</v>
      </c>
      <c r="D21" t="s">
        <v>27</v>
      </c>
      <c r="E21" t="s">
        <v>28</v>
      </c>
      <c r="F21">
        <v>345495</v>
      </c>
      <c r="G21">
        <v>5527931094</v>
      </c>
      <c r="H21">
        <v>22946246</v>
      </c>
      <c r="I21" t="s">
        <v>29</v>
      </c>
      <c r="K21" t="s">
        <v>30</v>
      </c>
      <c r="L21" t="s">
        <v>40</v>
      </c>
      <c r="M21">
        <v>0</v>
      </c>
      <c r="N21">
        <v>0</v>
      </c>
      <c r="O21">
        <v>49.999999998</v>
      </c>
      <c r="P21">
        <v>0</v>
      </c>
      <c r="Q21">
        <v>0</v>
      </c>
      <c r="R21">
        <v>49.999999998</v>
      </c>
      <c r="S21" t="s">
        <v>110</v>
      </c>
      <c r="T21" t="s">
        <v>33</v>
      </c>
      <c r="U21">
        <v>10001013</v>
      </c>
      <c r="Y21" t="s">
        <v>128</v>
      </c>
      <c r="AC21" t="s">
        <v>129</v>
      </c>
    </row>
    <row r="22" spans="1:29" x14ac:dyDescent="0.45">
      <c r="A22" t="s">
        <v>26</v>
      </c>
      <c r="B22">
        <v>151390842</v>
      </c>
      <c r="C22">
        <v>10001013</v>
      </c>
      <c r="D22" t="s">
        <v>27</v>
      </c>
      <c r="E22" t="s">
        <v>28</v>
      </c>
      <c r="F22">
        <v>350677</v>
      </c>
      <c r="G22">
        <v>5596585265</v>
      </c>
      <c r="H22">
        <v>22826569</v>
      </c>
      <c r="I22" t="s">
        <v>29</v>
      </c>
      <c r="K22" t="s">
        <v>30</v>
      </c>
      <c r="L22" t="s">
        <v>40</v>
      </c>
      <c r="M22">
        <v>0</v>
      </c>
      <c r="N22">
        <v>0</v>
      </c>
      <c r="O22">
        <v>49.999999998</v>
      </c>
      <c r="P22">
        <v>0</v>
      </c>
      <c r="Q22">
        <v>0</v>
      </c>
      <c r="R22">
        <v>49.999999998</v>
      </c>
      <c r="S22" t="s">
        <v>114</v>
      </c>
      <c r="T22" t="s">
        <v>33</v>
      </c>
      <c r="U22">
        <v>10001013</v>
      </c>
      <c r="Y22" t="s">
        <v>128</v>
      </c>
      <c r="AC22" t="s">
        <v>129</v>
      </c>
    </row>
    <row r="23" spans="1:29" x14ac:dyDescent="0.45">
      <c r="A23" t="s">
        <v>26</v>
      </c>
      <c r="B23">
        <v>151390869</v>
      </c>
      <c r="C23">
        <v>10001013</v>
      </c>
      <c r="D23" t="s">
        <v>27</v>
      </c>
      <c r="E23" t="s">
        <v>28</v>
      </c>
      <c r="F23">
        <v>350677</v>
      </c>
      <c r="G23">
        <v>5524830741</v>
      </c>
      <c r="H23">
        <v>22825675</v>
      </c>
      <c r="I23" t="s">
        <v>29</v>
      </c>
      <c r="K23" t="s">
        <v>30</v>
      </c>
      <c r="L23" t="s">
        <v>55</v>
      </c>
      <c r="M23">
        <v>0</v>
      </c>
      <c r="N23">
        <v>0</v>
      </c>
      <c r="O23">
        <v>49.999999998</v>
      </c>
      <c r="P23">
        <v>0</v>
      </c>
      <c r="Q23">
        <v>0</v>
      </c>
      <c r="R23">
        <v>49.999999998</v>
      </c>
      <c r="S23" t="s">
        <v>120</v>
      </c>
      <c r="T23" t="s">
        <v>33</v>
      </c>
      <c r="U23">
        <v>10001013</v>
      </c>
      <c r="Y23" t="s">
        <v>128</v>
      </c>
      <c r="AC23" t="s">
        <v>129</v>
      </c>
    </row>
    <row r="24" spans="1:29" x14ac:dyDescent="0.45">
      <c r="A24" t="s">
        <v>26</v>
      </c>
      <c r="B24">
        <v>151391024</v>
      </c>
      <c r="C24">
        <v>10000064</v>
      </c>
      <c r="D24" t="s">
        <v>27</v>
      </c>
      <c r="E24" t="s">
        <v>28</v>
      </c>
      <c r="F24">
        <v>350703</v>
      </c>
      <c r="G24">
        <v>5591304408</v>
      </c>
      <c r="H24">
        <v>22876250</v>
      </c>
      <c r="I24" t="s">
        <v>29</v>
      </c>
      <c r="K24" t="s">
        <v>30</v>
      </c>
      <c r="L24" t="s">
        <v>31</v>
      </c>
      <c r="M24">
        <v>0</v>
      </c>
      <c r="N24">
        <v>0</v>
      </c>
      <c r="O24">
        <v>49.999999998</v>
      </c>
      <c r="P24">
        <v>0</v>
      </c>
      <c r="Q24">
        <v>0</v>
      </c>
      <c r="R24">
        <v>49.999999998</v>
      </c>
      <c r="S24" t="s">
        <v>115</v>
      </c>
      <c r="T24" t="s">
        <v>33</v>
      </c>
      <c r="U24">
        <v>10000064</v>
      </c>
      <c r="Y24" t="s">
        <v>128</v>
      </c>
      <c r="AC24" t="s">
        <v>129</v>
      </c>
    </row>
    <row r="25" spans="1:29" x14ac:dyDescent="0.45">
      <c r="A25" t="s">
        <v>26</v>
      </c>
      <c r="B25">
        <v>151392070</v>
      </c>
      <c r="C25">
        <v>10001013</v>
      </c>
      <c r="D25" t="s">
        <v>27</v>
      </c>
      <c r="E25" t="s">
        <v>28</v>
      </c>
      <c r="F25">
        <v>345495</v>
      </c>
      <c r="G25">
        <v>5510386548</v>
      </c>
      <c r="H25">
        <v>22865243</v>
      </c>
      <c r="I25" t="s">
        <v>29</v>
      </c>
      <c r="K25" t="s">
        <v>30</v>
      </c>
      <c r="L25" t="s">
        <v>42</v>
      </c>
      <c r="M25">
        <v>0</v>
      </c>
      <c r="N25">
        <v>0</v>
      </c>
      <c r="O25">
        <v>49.999999998</v>
      </c>
      <c r="P25">
        <v>0</v>
      </c>
      <c r="Q25">
        <v>0</v>
      </c>
      <c r="R25">
        <v>49.999999998</v>
      </c>
      <c r="S25" t="s">
        <v>110</v>
      </c>
      <c r="T25" t="s">
        <v>33</v>
      </c>
      <c r="U25">
        <v>10001013</v>
      </c>
      <c r="Y25" t="s">
        <v>128</v>
      </c>
      <c r="AC25" t="s">
        <v>129</v>
      </c>
    </row>
    <row r="26" spans="1:29" x14ac:dyDescent="0.45">
      <c r="A26" t="s">
        <v>26</v>
      </c>
      <c r="B26">
        <v>151396709</v>
      </c>
      <c r="C26">
        <v>10000064</v>
      </c>
      <c r="D26" t="s">
        <v>27</v>
      </c>
      <c r="E26" t="s">
        <v>28</v>
      </c>
      <c r="F26">
        <v>351037</v>
      </c>
      <c r="G26">
        <v>5556760306</v>
      </c>
      <c r="H26">
        <v>23002907</v>
      </c>
      <c r="I26" t="s">
        <v>29</v>
      </c>
      <c r="K26" t="s">
        <v>30</v>
      </c>
      <c r="L26" t="s">
        <v>40</v>
      </c>
      <c r="M26">
        <v>0</v>
      </c>
      <c r="N26">
        <v>0</v>
      </c>
      <c r="O26">
        <v>49.999999998</v>
      </c>
      <c r="P26">
        <v>0</v>
      </c>
      <c r="Q26">
        <v>0</v>
      </c>
      <c r="R26">
        <v>49.999999998</v>
      </c>
      <c r="S26" t="s">
        <v>110</v>
      </c>
      <c r="T26" t="s">
        <v>33</v>
      </c>
      <c r="U26">
        <v>10000064</v>
      </c>
      <c r="Y26" t="s">
        <v>128</v>
      </c>
      <c r="AC26" t="s">
        <v>129</v>
      </c>
    </row>
    <row r="27" spans="1:29" x14ac:dyDescent="0.45">
      <c r="A27" t="s">
        <v>26</v>
      </c>
      <c r="B27">
        <v>151396975</v>
      </c>
      <c r="C27">
        <v>10001013</v>
      </c>
      <c r="D27" t="s">
        <v>27</v>
      </c>
      <c r="E27" t="s">
        <v>28</v>
      </c>
      <c r="F27">
        <v>348467</v>
      </c>
      <c r="G27">
        <v>5559491958</v>
      </c>
      <c r="H27">
        <v>22937631</v>
      </c>
      <c r="I27" t="s">
        <v>29</v>
      </c>
      <c r="K27" t="s">
        <v>30</v>
      </c>
      <c r="L27" t="s">
        <v>39</v>
      </c>
      <c r="M27">
        <v>0</v>
      </c>
      <c r="N27">
        <v>0</v>
      </c>
      <c r="O27">
        <v>49.999999998</v>
      </c>
      <c r="P27">
        <v>0</v>
      </c>
      <c r="Q27">
        <v>0</v>
      </c>
      <c r="R27">
        <v>49.999999998</v>
      </c>
      <c r="S27" t="s">
        <v>110</v>
      </c>
      <c r="T27" t="s">
        <v>33</v>
      </c>
      <c r="U27">
        <v>10001013</v>
      </c>
      <c r="Y27" t="s">
        <v>128</v>
      </c>
      <c r="AC27" t="s">
        <v>129</v>
      </c>
    </row>
    <row r="28" spans="1:29" x14ac:dyDescent="0.45">
      <c r="A28" t="s">
        <v>26</v>
      </c>
      <c r="B28">
        <v>151398945</v>
      </c>
      <c r="C28">
        <v>10000064</v>
      </c>
      <c r="D28" t="s">
        <v>27</v>
      </c>
      <c r="E28" t="s">
        <v>28</v>
      </c>
      <c r="F28">
        <v>351040</v>
      </c>
      <c r="G28">
        <v>5554913131</v>
      </c>
      <c r="H28">
        <v>23003044</v>
      </c>
      <c r="I28" t="s">
        <v>29</v>
      </c>
      <c r="K28" t="s">
        <v>30</v>
      </c>
      <c r="L28" t="s">
        <v>40</v>
      </c>
      <c r="M28">
        <v>0</v>
      </c>
      <c r="N28">
        <v>0</v>
      </c>
      <c r="O28">
        <v>49.999999998</v>
      </c>
      <c r="P28">
        <v>0</v>
      </c>
      <c r="Q28">
        <v>0</v>
      </c>
      <c r="R28">
        <v>49.999999998</v>
      </c>
      <c r="S28" t="s">
        <v>113</v>
      </c>
      <c r="T28" t="s">
        <v>33</v>
      </c>
      <c r="U28">
        <v>10000064</v>
      </c>
      <c r="Y28" t="s">
        <v>128</v>
      </c>
      <c r="AC28" t="s">
        <v>129</v>
      </c>
    </row>
    <row r="29" spans="1:29" x14ac:dyDescent="0.45">
      <c r="A29" t="s">
        <v>26</v>
      </c>
      <c r="B29">
        <v>151428281</v>
      </c>
      <c r="C29">
        <v>10001013</v>
      </c>
      <c r="D29" t="s">
        <v>27</v>
      </c>
      <c r="E29" t="s">
        <v>28</v>
      </c>
      <c r="F29">
        <v>345495</v>
      </c>
      <c r="G29">
        <v>5558598699</v>
      </c>
      <c r="H29">
        <v>23900873</v>
      </c>
      <c r="I29" t="s">
        <v>29</v>
      </c>
      <c r="K29" t="s">
        <v>30</v>
      </c>
      <c r="L29" t="s">
        <v>39</v>
      </c>
      <c r="M29">
        <v>150.00000001999999</v>
      </c>
      <c r="N29">
        <v>0</v>
      </c>
      <c r="O29">
        <v>0</v>
      </c>
      <c r="P29">
        <v>0</v>
      </c>
      <c r="Q29">
        <v>0</v>
      </c>
      <c r="R29">
        <v>150.00000001999999</v>
      </c>
      <c r="S29" t="s">
        <v>110</v>
      </c>
      <c r="T29" t="s">
        <v>38</v>
      </c>
      <c r="U29">
        <v>10001013</v>
      </c>
      <c r="Y29" t="s">
        <v>128</v>
      </c>
      <c r="AC29" t="s">
        <v>129</v>
      </c>
    </row>
    <row r="30" spans="1:29" x14ac:dyDescent="0.45">
      <c r="A30" t="s">
        <v>26</v>
      </c>
      <c r="B30">
        <v>151428315</v>
      </c>
      <c r="C30">
        <v>10001013</v>
      </c>
      <c r="D30" t="s">
        <v>27</v>
      </c>
      <c r="E30" t="s">
        <v>28</v>
      </c>
      <c r="F30">
        <v>345495</v>
      </c>
      <c r="G30">
        <v>5575829858</v>
      </c>
      <c r="H30">
        <v>23871005</v>
      </c>
      <c r="I30" t="s">
        <v>29</v>
      </c>
      <c r="K30" t="s">
        <v>30</v>
      </c>
      <c r="L30" t="s">
        <v>40</v>
      </c>
      <c r="M30">
        <v>150.00000001999999</v>
      </c>
      <c r="N30">
        <v>0</v>
      </c>
      <c r="O30">
        <v>0</v>
      </c>
      <c r="P30">
        <v>0</v>
      </c>
      <c r="Q30">
        <v>0</v>
      </c>
      <c r="R30">
        <v>150.00000001999999</v>
      </c>
      <c r="S30" t="s">
        <v>110</v>
      </c>
      <c r="T30" t="s">
        <v>38</v>
      </c>
      <c r="U30">
        <v>10001013</v>
      </c>
      <c r="Y30" t="s">
        <v>128</v>
      </c>
      <c r="AC30" t="s">
        <v>129</v>
      </c>
    </row>
    <row r="31" spans="1:29" x14ac:dyDescent="0.45">
      <c r="A31" t="s">
        <v>26</v>
      </c>
      <c r="B31">
        <v>151428390</v>
      </c>
      <c r="C31">
        <v>10001013</v>
      </c>
      <c r="D31" t="s">
        <v>27</v>
      </c>
      <c r="E31" t="s">
        <v>28</v>
      </c>
      <c r="F31">
        <v>345495</v>
      </c>
      <c r="G31">
        <v>5558409514</v>
      </c>
      <c r="H31">
        <v>23901523</v>
      </c>
      <c r="I31" t="s">
        <v>29</v>
      </c>
      <c r="K31" t="s">
        <v>30</v>
      </c>
      <c r="L31" t="s">
        <v>39</v>
      </c>
      <c r="M31">
        <v>150.00000001999999</v>
      </c>
      <c r="N31">
        <v>0</v>
      </c>
      <c r="O31">
        <v>0</v>
      </c>
      <c r="P31">
        <v>0</v>
      </c>
      <c r="Q31">
        <v>0</v>
      </c>
      <c r="R31">
        <v>150.00000001999999</v>
      </c>
      <c r="S31" t="s">
        <v>110</v>
      </c>
      <c r="T31" t="s">
        <v>38</v>
      </c>
      <c r="U31">
        <v>10001013</v>
      </c>
      <c r="Y31" t="s">
        <v>128</v>
      </c>
      <c r="AC31" t="s">
        <v>129</v>
      </c>
    </row>
    <row r="32" spans="1:29" x14ac:dyDescent="0.45">
      <c r="A32" t="s">
        <v>26</v>
      </c>
      <c r="B32">
        <v>151388741</v>
      </c>
      <c r="C32">
        <v>10001013</v>
      </c>
      <c r="D32" t="s">
        <v>27</v>
      </c>
      <c r="E32" t="s">
        <v>28</v>
      </c>
      <c r="F32">
        <v>350677</v>
      </c>
      <c r="G32">
        <v>5523455212</v>
      </c>
      <c r="H32">
        <v>22806551</v>
      </c>
      <c r="I32" t="s">
        <v>29</v>
      </c>
      <c r="K32" t="s">
        <v>30</v>
      </c>
      <c r="L32" t="s">
        <v>31</v>
      </c>
      <c r="M32">
        <v>0</v>
      </c>
      <c r="N32">
        <v>0</v>
      </c>
      <c r="O32">
        <v>49.999999998</v>
      </c>
      <c r="P32">
        <v>0</v>
      </c>
      <c r="Q32">
        <v>0</v>
      </c>
      <c r="R32">
        <v>49.999999998</v>
      </c>
      <c r="S32" t="s">
        <v>115</v>
      </c>
      <c r="T32" t="s">
        <v>33</v>
      </c>
      <c r="U32">
        <v>10001013</v>
      </c>
      <c r="Y32" t="s">
        <v>128</v>
      </c>
      <c r="AC32" t="s">
        <v>129</v>
      </c>
    </row>
    <row r="33" spans="1:29" x14ac:dyDescent="0.45">
      <c r="A33" t="s">
        <v>26</v>
      </c>
      <c r="B33">
        <v>151432596</v>
      </c>
      <c r="C33">
        <v>10000064</v>
      </c>
      <c r="D33" t="s">
        <v>27</v>
      </c>
      <c r="E33" t="s">
        <v>28</v>
      </c>
      <c r="F33">
        <v>346072</v>
      </c>
      <c r="G33">
        <v>5529243850</v>
      </c>
      <c r="H33">
        <v>23953054</v>
      </c>
      <c r="I33" t="s">
        <v>29</v>
      </c>
      <c r="K33" t="s">
        <v>30</v>
      </c>
      <c r="L33" t="s">
        <v>39</v>
      </c>
      <c r="M33">
        <v>150.00000001999999</v>
      </c>
      <c r="N33">
        <v>0</v>
      </c>
      <c r="O33">
        <v>0</v>
      </c>
      <c r="P33">
        <v>0</v>
      </c>
      <c r="Q33">
        <v>0</v>
      </c>
      <c r="R33">
        <v>150.00000001999999</v>
      </c>
      <c r="S33" t="s">
        <v>110</v>
      </c>
      <c r="T33" t="s">
        <v>38</v>
      </c>
      <c r="U33">
        <v>10000064</v>
      </c>
      <c r="Y33" t="s">
        <v>128</v>
      </c>
      <c r="AC33" t="s">
        <v>129</v>
      </c>
    </row>
    <row r="34" spans="1:29" x14ac:dyDescent="0.45">
      <c r="A34" t="s">
        <v>26</v>
      </c>
      <c r="B34">
        <v>151432662</v>
      </c>
      <c r="C34">
        <v>10000064</v>
      </c>
      <c r="D34" t="s">
        <v>27</v>
      </c>
      <c r="E34" t="s">
        <v>28</v>
      </c>
      <c r="F34">
        <v>346072</v>
      </c>
      <c r="G34">
        <v>5550854335</v>
      </c>
      <c r="H34">
        <v>23947687</v>
      </c>
      <c r="I34" t="s">
        <v>29</v>
      </c>
      <c r="K34" t="s">
        <v>30</v>
      </c>
      <c r="L34" t="s">
        <v>42</v>
      </c>
      <c r="M34">
        <v>150.00000001999999</v>
      </c>
      <c r="N34">
        <v>0</v>
      </c>
      <c r="O34">
        <v>0</v>
      </c>
      <c r="P34">
        <v>0</v>
      </c>
      <c r="Q34">
        <v>0</v>
      </c>
      <c r="R34">
        <v>150.00000001999999</v>
      </c>
      <c r="S34" t="s">
        <v>112</v>
      </c>
      <c r="T34" t="s">
        <v>38</v>
      </c>
      <c r="U34">
        <v>10000064</v>
      </c>
      <c r="Y34" t="s">
        <v>128</v>
      </c>
      <c r="AC34" t="s">
        <v>129</v>
      </c>
    </row>
    <row r="35" spans="1:29" x14ac:dyDescent="0.45">
      <c r="A35" t="s">
        <v>26</v>
      </c>
      <c r="B35">
        <v>151433451</v>
      </c>
      <c r="C35">
        <v>10001013</v>
      </c>
      <c r="D35" t="s">
        <v>27</v>
      </c>
      <c r="E35" t="s">
        <v>28</v>
      </c>
      <c r="F35">
        <v>348467</v>
      </c>
      <c r="G35">
        <v>5558635589</v>
      </c>
      <c r="H35">
        <v>23999401</v>
      </c>
      <c r="I35" t="s">
        <v>29</v>
      </c>
      <c r="K35" t="s">
        <v>30</v>
      </c>
      <c r="L35" t="s">
        <v>39</v>
      </c>
      <c r="M35">
        <v>150.00000001999999</v>
      </c>
      <c r="N35">
        <v>0</v>
      </c>
      <c r="O35">
        <v>0</v>
      </c>
      <c r="P35">
        <v>0</v>
      </c>
      <c r="Q35">
        <v>0</v>
      </c>
      <c r="R35">
        <v>150.00000001999999</v>
      </c>
      <c r="S35" t="s">
        <v>113</v>
      </c>
      <c r="T35" t="s">
        <v>38</v>
      </c>
      <c r="U35">
        <v>10001013</v>
      </c>
      <c r="Y35" t="s">
        <v>128</v>
      </c>
      <c r="AC35" t="s">
        <v>129</v>
      </c>
    </row>
    <row r="36" spans="1:29" x14ac:dyDescent="0.45">
      <c r="A36" t="s">
        <v>26</v>
      </c>
      <c r="B36">
        <v>151436375</v>
      </c>
      <c r="C36">
        <v>10000064</v>
      </c>
      <c r="D36" t="s">
        <v>27</v>
      </c>
      <c r="E36" t="s">
        <v>28</v>
      </c>
      <c r="F36">
        <v>352529</v>
      </c>
      <c r="G36">
        <v>5558591014</v>
      </c>
      <c r="H36">
        <v>23983232</v>
      </c>
      <c r="I36" t="s">
        <v>29</v>
      </c>
      <c r="K36" t="s">
        <v>30</v>
      </c>
      <c r="L36" t="s">
        <v>39</v>
      </c>
      <c r="M36">
        <v>150.00000001999999</v>
      </c>
      <c r="N36">
        <v>0</v>
      </c>
      <c r="O36">
        <v>0</v>
      </c>
      <c r="P36">
        <v>0</v>
      </c>
      <c r="Q36">
        <v>0</v>
      </c>
      <c r="R36">
        <v>150.00000001999999</v>
      </c>
      <c r="S36" t="s">
        <v>110</v>
      </c>
      <c r="T36" t="s">
        <v>38</v>
      </c>
      <c r="U36">
        <v>10000064</v>
      </c>
      <c r="Y36" t="s">
        <v>128</v>
      </c>
      <c r="AC36" t="s">
        <v>129</v>
      </c>
    </row>
    <row r="37" spans="1:29" x14ac:dyDescent="0.45">
      <c r="A37" t="s">
        <v>26</v>
      </c>
      <c r="B37">
        <v>151437027</v>
      </c>
      <c r="C37">
        <v>10000064</v>
      </c>
      <c r="D37" t="s">
        <v>27</v>
      </c>
      <c r="E37" t="s">
        <v>28</v>
      </c>
      <c r="F37">
        <v>346072</v>
      </c>
      <c r="G37">
        <v>5556752022</v>
      </c>
      <c r="H37">
        <v>24027548</v>
      </c>
      <c r="I37" t="s">
        <v>29</v>
      </c>
      <c r="K37" t="s">
        <v>30</v>
      </c>
      <c r="L37" t="s">
        <v>42</v>
      </c>
      <c r="M37">
        <v>150.00000001999999</v>
      </c>
      <c r="N37">
        <v>0</v>
      </c>
      <c r="O37">
        <v>0</v>
      </c>
      <c r="P37">
        <v>0</v>
      </c>
      <c r="Q37">
        <v>0</v>
      </c>
      <c r="R37">
        <v>150.00000001999999</v>
      </c>
      <c r="S37" t="s">
        <v>106</v>
      </c>
      <c r="T37" t="s">
        <v>38</v>
      </c>
      <c r="U37">
        <v>10000064</v>
      </c>
      <c r="Y37" t="s">
        <v>128</v>
      </c>
      <c r="AC37" t="s">
        <v>129</v>
      </c>
    </row>
    <row r="38" spans="1:29" x14ac:dyDescent="0.45">
      <c r="A38" t="s">
        <v>26</v>
      </c>
      <c r="B38">
        <v>151437088</v>
      </c>
      <c r="C38">
        <v>10000064</v>
      </c>
      <c r="D38" t="s">
        <v>27</v>
      </c>
      <c r="E38" t="s">
        <v>28</v>
      </c>
      <c r="F38">
        <v>346072</v>
      </c>
      <c r="G38">
        <v>5556412654</v>
      </c>
      <c r="H38">
        <v>24011181</v>
      </c>
      <c r="I38" t="s">
        <v>29</v>
      </c>
      <c r="K38" t="s">
        <v>30</v>
      </c>
      <c r="L38" t="s">
        <v>42</v>
      </c>
      <c r="M38">
        <v>150.00000001999999</v>
      </c>
      <c r="N38">
        <v>0</v>
      </c>
      <c r="O38">
        <v>0</v>
      </c>
      <c r="P38">
        <v>0</v>
      </c>
      <c r="Q38">
        <v>0</v>
      </c>
      <c r="R38">
        <v>150.00000001999999</v>
      </c>
      <c r="S38" t="s">
        <v>110</v>
      </c>
      <c r="T38" t="s">
        <v>38</v>
      </c>
      <c r="U38">
        <v>10000064</v>
      </c>
      <c r="Y38" t="s">
        <v>128</v>
      </c>
      <c r="AC38" t="s">
        <v>129</v>
      </c>
    </row>
    <row r="39" spans="1:29" x14ac:dyDescent="0.45">
      <c r="A39" t="s">
        <v>26</v>
      </c>
      <c r="B39">
        <v>151437536</v>
      </c>
      <c r="C39">
        <v>10000064</v>
      </c>
      <c r="D39" t="s">
        <v>27</v>
      </c>
      <c r="E39" t="s">
        <v>28</v>
      </c>
      <c r="F39">
        <v>348485</v>
      </c>
      <c r="G39">
        <v>5516734333</v>
      </c>
      <c r="H39">
        <v>23999326</v>
      </c>
      <c r="I39" t="s">
        <v>29</v>
      </c>
      <c r="K39" t="s">
        <v>30</v>
      </c>
      <c r="L39" t="s">
        <v>36</v>
      </c>
      <c r="M39">
        <v>150.00000001999999</v>
      </c>
      <c r="N39">
        <v>0</v>
      </c>
      <c r="O39">
        <v>0</v>
      </c>
      <c r="P39">
        <v>0</v>
      </c>
      <c r="Q39">
        <v>0</v>
      </c>
      <c r="R39">
        <v>150.00000001999999</v>
      </c>
      <c r="S39" t="s">
        <v>114</v>
      </c>
      <c r="T39" t="s">
        <v>38</v>
      </c>
      <c r="U39">
        <v>10000064</v>
      </c>
      <c r="Y39" t="s">
        <v>128</v>
      </c>
      <c r="AC39" t="s">
        <v>129</v>
      </c>
    </row>
    <row r="40" spans="1:29" x14ac:dyDescent="0.45">
      <c r="A40" t="s">
        <v>26</v>
      </c>
      <c r="B40">
        <v>151437578</v>
      </c>
      <c r="C40">
        <v>10000064</v>
      </c>
      <c r="D40" t="s">
        <v>27</v>
      </c>
      <c r="E40" t="s">
        <v>28</v>
      </c>
      <c r="F40">
        <v>348485</v>
      </c>
      <c r="G40">
        <v>5556538598</v>
      </c>
      <c r="H40">
        <v>24022053</v>
      </c>
      <c r="I40" t="s">
        <v>29</v>
      </c>
      <c r="K40" t="s">
        <v>30</v>
      </c>
      <c r="L40" t="s">
        <v>42</v>
      </c>
      <c r="M40">
        <v>150.00000001999999</v>
      </c>
      <c r="N40">
        <v>0</v>
      </c>
      <c r="O40">
        <v>0</v>
      </c>
      <c r="P40">
        <v>0</v>
      </c>
      <c r="Q40">
        <v>0</v>
      </c>
      <c r="R40">
        <v>150.00000001999999</v>
      </c>
      <c r="S40" t="s">
        <v>110</v>
      </c>
      <c r="T40" t="s">
        <v>38</v>
      </c>
      <c r="U40">
        <v>10000064</v>
      </c>
      <c r="Y40" t="s">
        <v>128</v>
      </c>
      <c r="AC40" t="s">
        <v>129</v>
      </c>
    </row>
    <row r="41" spans="1:29" x14ac:dyDescent="0.45">
      <c r="A41" t="s">
        <v>26</v>
      </c>
      <c r="B41">
        <v>151438772</v>
      </c>
      <c r="C41">
        <v>10001013</v>
      </c>
      <c r="D41" t="s">
        <v>27</v>
      </c>
      <c r="E41" t="s">
        <v>28</v>
      </c>
      <c r="F41">
        <v>348467</v>
      </c>
      <c r="G41">
        <v>5511049544</v>
      </c>
      <c r="H41">
        <v>24059074</v>
      </c>
      <c r="I41" t="s">
        <v>29</v>
      </c>
      <c r="K41" t="s">
        <v>30</v>
      </c>
      <c r="L41" t="s">
        <v>40</v>
      </c>
      <c r="M41">
        <v>150.00000001999999</v>
      </c>
      <c r="N41">
        <v>0</v>
      </c>
      <c r="O41">
        <v>0</v>
      </c>
      <c r="P41">
        <v>0</v>
      </c>
      <c r="Q41">
        <v>0</v>
      </c>
      <c r="R41">
        <v>150.00000001999999</v>
      </c>
      <c r="S41" t="s">
        <v>110</v>
      </c>
      <c r="T41" t="s">
        <v>38</v>
      </c>
      <c r="U41">
        <v>10001013</v>
      </c>
      <c r="Y41" t="s">
        <v>128</v>
      </c>
      <c r="AC41" t="s">
        <v>129</v>
      </c>
    </row>
    <row r="42" spans="1:29" x14ac:dyDescent="0.45">
      <c r="A42" t="s">
        <v>26</v>
      </c>
      <c r="B42">
        <v>151440375</v>
      </c>
      <c r="C42">
        <v>10001013</v>
      </c>
      <c r="D42" t="s">
        <v>27</v>
      </c>
      <c r="E42" t="s">
        <v>28</v>
      </c>
      <c r="F42">
        <v>348467</v>
      </c>
      <c r="G42">
        <v>5556184940</v>
      </c>
      <c r="H42">
        <v>24022834</v>
      </c>
      <c r="I42" t="s">
        <v>29</v>
      </c>
      <c r="K42" t="s">
        <v>30</v>
      </c>
      <c r="L42" t="s">
        <v>42</v>
      </c>
      <c r="M42">
        <v>150.00000001999999</v>
      </c>
      <c r="N42">
        <v>0</v>
      </c>
      <c r="O42">
        <v>0</v>
      </c>
      <c r="P42">
        <v>0</v>
      </c>
      <c r="Q42">
        <v>0</v>
      </c>
      <c r="R42">
        <v>150.00000001999999</v>
      </c>
      <c r="S42" t="s">
        <v>115</v>
      </c>
      <c r="T42" t="s">
        <v>38</v>
      </c>
      <c r="U42">
        <v>10001013</v>
      </c>
      <c r="Y42" t="s">
        <v>128</v>
      </c>
      <c r="AC42" t="s">
        <v>129</v>
      </c>
    </row>
    <row r="43" spans="1:29" x14ac:dyDescent="0.45">
      <c r="A43" t="s">
        <v>26</v>
      </c>
      <c r="B43">
        <v>151440807</v>
      </c>
      <c r="C43">
        <v>10000064</v>
      </c>
      <c r="D43" t="s">
        <v>27</v>
      </c>
      <c r="E43" t="s">
        <v>28</v>
      </c>
      <c r="F43">
        <v>348485</v>
      </c>
      <c r="G43">
        <v>5521571022</v>
      </c>
      <c r="H43">
        <v>24030778</v>
      </c>
      <c r="I43" t="s">
        <v>29</v>
      </c>
      <c r="K43" t="s">
        <v>30</v>
      </c>
      <c r="L43" t="s">
        <v>42</v>
      </c>
      <c r="M43">
        <v>150.00000001999999</v>
      </c>
      <c r="N43">
        <v>0</v>
      </c>
      <c r="O43">
        <v>0</v>
      </c>
      <c r="P43">
        <v>0</v>
      </c>
      <c r="Q43">
        <v>0</v>
      </c>
      <c r="R43">
        <v>150.00000001999999</v>
      </c>
      <c r="S43" t="s">
        <v>115</v>
      </c>
      <c r="T43" t="s">
        <v>38</v>
      </c>
      <c r="U43">
        <v>10000064</v>
      </c>
      <c r="Y43" t="s">
        <v>128</v>
      </c>
      <c r="AC43" t="s">
        <v>129</v>
      </c>
    </row>
    <row r="44" spans="1:29" x14ac:dyDescent="0.45">
      <c r="A44" t="s">
        <v>26</v>
      </c>
      <c r="B44">
        <v>151379081</v>
      </c>
      <c r="C44">
        <v>10000064</v>
      </c>
      <c r="D44" t="s">
        <v>27</v>
      </c>
      <c r="E44" t="s">
        <v>28</v>
      </c>
      <c r="F44">
        <v>350703</v>
      </c>
      <c r="G44">
        <v>5522088611</v>
      </c>
      <c r="H44">
        <v>22692935</v>
      </c>
      <c r="I44" t="s">
        <v>29</v>
      </c>
      <c r="K44" t="s">
        <v>30</v>
      </c>
      <c r="L44" t="s">
        <v>42</v>
      </c>
      <c r="M44">
        <v>0</v>
      </c>
      <c r="N44">
        <v>0</v>
      </c>
      <c r="O44">
        <v>49.999999998</v>
      </c>
      <c r="P44">
        <v>0</v>
      </c>
      <c r="Q44">
        <v>0</v>
      </c>
      <c r="R44">
        <v>49.999999998</v>
      </c>
      <c r="S44" t="s">
        <v>115</v>
      </c>
      <c r="T44" t="s">
        <v>33</v>
      </c>
      <c r="U44">
        <v>10000064</v>
      </c>
      <c r="Y44" t="s">
        <v>128</v>
      </c>
      <c r="AC44" t="s">
        <v>129</v>
      </c>
    </row>
    <row r="45" spans="1:29" x14ac:dyDescent="0.45">
      <c r="A45" t="s">
        <v>26</v>
      </c>
      <c r="B45">
        <v>151334172</v>
      </c>
      <c r="C45">
        <v>10001013</v>
      </c>
      <c r="D45" t="s">
        <v>27</v>
      </c>
      <c r="E45" t="s">
        <v>28</v>
      </c>
      <c r="F45">
        <v>344154</v>
      </c>
      <c r="G45">
        <v>5543176181</v>
      </c>
      <c r="H45">
        <v>22172308</v>
      </c>
      <c r="I45" t="s">
        <v>29</v>
      </c>
      <c r="K45" t="s">
        <v>30</v>
      </c>
      <c r="L45" t="s">
        <v>55</v>
      </c>
      <c r="M45">
        <v>0</v>
      </c>
      <c r="N45">
        <v>0</v>
      </c>
      <c r="O45">
        <v>49.999999998</v>
      </c>
      <c r="P45">
        <v>0</v>
      </c>
      <c r="Q45">
        <v>0</v>
      </c>
      <c r="R45">
        <v>49.999999998</v>
      </c>
      <c r="S45" t="s">
        <v>120</v>
      </c>
      <c r="T45" t="s">
        <v>33</v>
      </c>
      <c r="U45">
        <v>10001013</v>
      </c>
      <c r="Y45" t="s">
        <v>128</v>
      </c>
      <c r="AC45" t="s">
        <v>129</v>
      </c>
    </row>
    <row r="46" spans="1:29" x14ac:dyDescent="0.45">
      <c r="A46" t="s">
        <v>26</v>
      </c>
      <c r="B46">
        <v>151337890</v>
      </c>
      <c r="C46">
        <v>10001013</v>
      </c>
      <c r="D46" t="s">
        <v>27</v>
      </c>
      <c r="E46" t="s">
        <v>28</v>
      </c>
      <c r="F46">
        <v>348467</v>
      </c>
      <c r="G46">
        <v>5526101395</v>
      </c>
      <c r="H46">
        <v>22198919</v>
      </c>
      <c r="I46" t="s">
        <v>29</v>
      </c>
      <c r="K46" t="s">
        <v>30</v>
      </c>
      <c r="L46" t="s">
        <v>55</v>
      </c>
      <c r="M46">
        <v>0</v>
      </c>
      <c r="N46">
        <v>0</v>
      </c>
      <c r="O46">
        <v>49.999999998</v>
      </c>
      <c r="P46">
        <v>0</v>
      </c>
      <c r="Q46">
        <v>0</v>
      </c>
      <c r="R46">
        <v>49.999999998</v>
      </c>
      <c r="S46" t="s">
        <v>115</v>
      </c>
      <c r="T46" t="s">
        <v>33</v>
      </c>
      <c r="U46">
        <v>10001013</v>
      </c>
      <c r="Y46" t="s">
        <v>128</v>
      </c>
      <c r="AC46" t="s">
        <v>129</v>
      </c>
    </row>
    <row r="47" spans="1:29" x14ac:dyDescent="0.45">
      <c r="A47" t="s">
        <v>26</v>
      </c>
      <c r="B47">
        <v>151345069</v>
      </c>
      <c r="C47">
        <v>10000064</v>
      </c>
      <c r="D47" t="s">
        <v>27</v>
      </c>
      <c r="E47" t="s">
        <v>28</v>
      </c>
      <c r="F47">
        <v>346126</v>
      </c>
      <c r="G47">
        <v>5557259042</v>
      </c>
      <c r="H47">
        <v>22292271</v>
      </c>
      <c r="I47" t="s">
        <v>29</v>
      </c>
      <c r="K47" t="s">
        <v>30</v>
      </c>
      <c r="L47" t="s">
        <v>47</v>
      </c>
      <c r="M47">
        <v>150.00000001999999</v>
      </c>
      <c r="N47">
        <v>0</v>
      </c>
      <c r="O47">
        <v>49.999999998</v>
      </c>
      <c r="P47">
        <v>0</v>
      </c>
      <c r="Q47">
        <v>0</v>
      </c>
      <c r="R47">
        <v>200.000000005</v>
      </c>
      <c r="S47" t="s">
        <v>113</v>
      </c>
      <c r="T47" t="s">
        <v>130</v>
      </c>
      <c r="U47">
        <v>10000064</v>
      </c>
      <c r="Y47" t="s">
        <v>128</v>
      </c>
      <c r="AC47" t="s">
        <v>129</v>
      </c>
    </row>
    <row r="48" spans="1:29" x14ac:dyDescent="0.45">
      <c r="A48" t="s">
        <v>26</v>
      </c>
      <c r="B48">
        <v>151363995</v>
      </c>
      <c r="C48">
        <v>10001013</v>
      </c>
      <c r="D48" t="s">
        <v>27</v>
      </c>
      <c r="E48" t="s">
        <v>28</v>
      </c>
      <c r="F48">
        <v>348467</v>
      </c>
      <c r="G48">
        <v>5517078273</v>
      </c>
      <c r="H48">
        <v>22747554</v>
      </c>
      <c r="I48" t="s">
        <v>29</v>
      </c>
      <c r="K48" t="s">
        <v>30</v>
      </c>
      <c r="L48" t="s">
        <v>40</v>
      </c>
      <c r="M48">
        <v>0</v>
      </c>
      <c r="N48">
        <v>0</v>
      </c>
      <c r="O48">
        <v>49.999999998</v>
      </c>
      <c r="P48">
        <v>0</v>
      </c>
      <c r="Q48">
        <v>0</v>
      </c>
      <c r="R48">
        <v>49.999999998</v>
      </c>
      <c r="S48" t="s">
        <v>110</v>
      </c>
      <c r="T48" t="s">
        <v>33</v>
      </c>
      <c r="U48">
        <v>10001013</v>
      </c>
      <c r="Y48" t="s">
        <v>128</v>
      </c>
      <c r="AC48" t="s">
        <v>129</v>
      </c>
    </row>
    <row r="49" spans="1:29" x14ac:dyDescent="0.45">
      <c r="A49" t="s">
        <v>26</v>
      </c>
      <c r="B49">
        <v>151365830</v>
      </c>
      <c r="C49">
        <v>10000064</v>
      </c>
      <c r="D49" t="s">
        <v>27</v>
      </c>
      <c r="E49" t="s">
        <v>28</v>
      </c>
      <c r="F49">
        <v>346126</v>
      </c>
      <c r="G49">
        <v>5559198141</v>
      </c>
      <c r="H49">
        <v>22640192</v>
      </c>
      <c r="I49" t="s">
        <v>29</v>
      </c>
      <c r="K49" t="s">
        <v>30</v>
      </c>
      <c r="L49" t="s">
        <v>40</v>
      </c>
      <c r="M49">
        <v>0</v>
      </c>
      <c r="N49">
        <v>0</v>
      </c>
      <c r="O49">
        <v>49.999999998</v>
      </c>
      <c r="P49">
        <v>0</v>
      </c>
      <c r="Q49">
        <v>0</v>
      </c>
      <c r="R49">
        <v>49.999999998</v>
      </c>
      <c r="S49" t="s">
        <v>110</v>
      </c>
      <c r="T49" t="s">
        <v>33</v>
      </c>
      <c r="U49">
        <v>10000064</v>
      </c>
      <c r="Y49" t="s">
        <v>128</v>
      </c>
      <c r="AC49" t="s">
        <v>129</v>
      </c>
    </row>
    <row r="50" spans="1:29" x14ac:dyDescent="0.45">
      <c r="A50" t="s">
        <v>26</v>
      </c>
      <c r="B50">
        <v>151368692</v>
      </c>
      <c r="C50">
        <v>10001013</v>
      </c>
      <c r="D50" t="s">
        <v>27</v>
      </c>
      <c r="E50" t="s">
        <v>28</v>
      </c>
      <c r="F50">
        <v>348467</v>
      </c>
      <c r="G50">
        <v>5554219400</v>
      </c>
      <c r="H50">
        <v>22548087</v>
      </c>
      <c r="I50" t="s">
        <v>29</v>
      </c>
      <c r="K50" t="s">
        <v>30</v>
      </c>
      <c r="L50" t="s">
        <v>42</v>
      </c>
      <c r="M50">
        <v>0</v>
      </c>
      <c r="N50">
        <v>0</v>
      </c>
      <c r="O50">
        <v>49.999999998</v>
      </c>
      <c r="P50">
        <v>0</v>
      </c>
      <c r="Q50">
        <v>0</v>
      </c>
      <c r="R50">
        <v>49.999999998</v>
      </c>
      <c r="S50" t="s">
        <v>110</v>
      </c>
      <c r="T50" t="s">
        <v>33</v>
      </c>
      <c r="U50">
        <v>10001013</v>
      </c>
      <c r="Y50" t="s">
        <v>128</v>
      </c>
      <c r="AC50" t="s">
        <v>129</v>
      </c>
    </row>
    <row r="51" spans="1:29" x14ac:dyDescent="0.45">
      <c r="A51" t="s">
        <v>26</v>
      </c>
      <c r="B51">
        <v>151368785</v>
      </c>
      <c r="C51">
        <v>10001013</v>
      </c>
      <c r="D51" t="s">
        <v>27</v>
      </c>
      <c r="E51" t="s">
        <v>28</v>
      </c>
      <c r="F51">
        <v>345495</v>
      </c>
      <c r="G51">
        <v>5556717914</v>
      </c>
      <c r="H51">
        <v>22555692</v>
      </c>
      <c r="I51" t="s">
        <v>29</v>
      </c>
      <c r="K51" t="s">
        <v>30</v>
      </c>
      <c r="L51" t="s">
        <v>40</v>
      </c>
      <c r="M51">
        <v>150.00000001999999</v>
      </c>
      <c r="N51">
        <v>0</v>
      </c>
      <c r="O51">
        <v>49.999999998</v>
      </c>
      <c r="P51">
        <v>0</v>
      </c>
      <c r="Q51">
        <v>0</v>
      </c>
      <c r="R51">
        <v>200.000000005</v>
      </c>
      <c r="S51" t="s">
        <v>110</v>
      </c>
      <c r="T51" t="s">
        <v>130</v>
      </c>
      <c r="U51">
        <v>10001013</v>
      </c>
      <c r="Y51" t="s">
        <v>128</v>
      </c>
      <c r="AC51" t="s">
        <v>129</v>
      </c>
    </row>
    <row r="52" spans="1:29" x14ac:dyDescent="0.45">
      <c r="A52" t="s">
        <v>26</v>
      </c>
      <c r="B52">
        <v>151368923</v>
      </c>
      <c r="C52">
        <v>10000064</v>
      </c>
      <c r="D52" t="s">
        <v>27</v>
      </c>
      <c r="E52" t="s">
        <v>28</v>
      </c>
      <c r="F52">
        <v>348485</v>
      </c>
      <c r="G52">
        <v>5556679257</v>
      </c>
      <c r="H52">
        <v>22594499</v>
      </c>
      <c r="I52" t="s">
        <v>29</v>
      </c>
      <c r="K52" t="s">
        <v>30</v>
      </c>
      <c r="L52" t="s">
        <v>40</v>
      </c>
      <c r="M52">
        <v>0</v>
      </c>
      <c r="N52">
        <v>0</v>
      </c>
      <c r="O52">
        <v>49.999999998</v>
      </c>
      <c r="P52">
        <v>0</v>
      </c>
      <c r="Q52">
        <v>0</v>
      </c>
      <c r="R52">
        <v>49.999999998</v>
      </c>
      <c r="S52" t="s">
        <v>110</v>
      </c>
      <c r="T52" t="s">
        <v>33</v>
      </c>
      <c r="U52">
        <v>10000064</v>
      </c>
      <c r="Y52" t="s">
        <v>128</v>
      </c>
      <c r="AC52" t="s">
        <v>129</v>
      </c>
    </row>
    <row r="53" spans="1:29" x14ac:dyDescent="0.45">
      <c r="A53" t="s">
        <v>26</v>
      </c>
      <c r="B53">
        <v>151370994</v>
      </c>
      <c r="C53">
        <v>10001013</v>
      </c>
      <c r="D53" t="s">
        <v>27</v>
      </c>
      <c r="E53" t="s">
        <v>28</v>
      </c>
      <c r="F53">
        <v>348467</v>
      </c>
      <c r="G53">
        <v>5556180154</v>
      </c>
      <c r="H53">
        <v>22577171</v>
      </c>
      <c r="I53" t="s">
        <v>29</v>
      </c>
      <c r="K53" t="s">
        <v>30</v>
      </c>
      <c r="L53" t="s">
        <v>42</v>
      </c>
      <c r="M53">
        <v>0</v>
      </c>
      <c r="N53">
        <v>0</v>
      </c>
      <c r="O53">
        <v>49.999999998</v>
      </c>
      <c r="P53">
        <v>0</v>
      </c>
      <c r="Q53">
        <v>0</v>
      </c>
      <c r="R53">
        <v>49.999999998</v>
      </c>
      <c r="S53" t="s">
        <v>114</v>
      </c>
      <c r="T53" t="s">
        <v>33</v>
      </c>
      <c r="U53">
        <v>10001013</v>
      </c>
      <c r="Y53" t="s">
        <v>128</v>
      </c>
      <c r="AC53" t="s">
        <v>129</v>
      </c>
    </row>
    <row r="54" spans="1:29" x14ac:dyDescent="0.45">
      <c r="A54" t="s">
        <v>26</v>
      </c>
      <c r="B54">
        <v>151373967</v>
      </c>
      <c r="C54">
        <v>10001013</v>
      </c>
      <c r="D54" t="s">
        <v>27</v>
      </c>
      <c r="E54" t="s">
        <v>28</v>
      </c>
      <c r="F54">
        <v>348467</v>
      </c>
      <c r="G54">
        <v>5594427611</v>
      </c>
      <c r="H54">
        <v>22604566</v>
      </c>
      <c r="I54" t="s">
        <v>29</v>
      </c>
      <c r="K54" t="s">
        <v>30</v>
      </c>
      <c r="L54" t="s">
        <v>40</v>
      </c>
      <c r="M54">
        <v>0</v>
      </c>
      <c r="N54">
        <v>0</v>
      </c>
      <c r="O54">
        <v>49.999999998</v>
      </c>
      <c r="P54">
        <v>0</v>
      </c>
      <c r="Q54">
        <v>0</v>
      </c>
      <c r="R54">
        <v>49.999999998</v>
      </c>
      <c r="S54" t="s">
        <v>110</v>
      </c>
      <c r="T54" t="s">
        <v>33</v>
      </c>
      <c r="U54">
        <v>10001013</v>
      </c>
      <c r="Y54" t="s">
        <v>128</v>
      </c>
      <c r="AC54" t="s">
        <v>129</v>
      </c>
    </row>
    <row r="55" spans="1:29" x14ac:dyDescent="0.45">
      <c r="A55" t="s">
        <v>26</v>
      </c>
      <c r="B55">
        <v>151377469</v>
      </c>
      <c r="C55">
        <v>10001013</v>
      </c>
      <c r="D55" t="s">
        <v>27</v>
      </c>
      <c r="E55" t="s">
        <v>28</v>
      </c>
      <c r="F55">
        <v>351030</v>
      </c>
      <c r="G55">
        <v>5522315761</v>
      </c>
      <c r="H55">
        <v>22778280</v>
      </c>
      <c r="I55" t="s">
        <v>29</v>
      </c>
      <c r="K55" t="s">
        <v>30</v>
      </c>
      <c r="L55" t="s">
        <v>47</v>
      </c>
      <c r="M55">
        <v>0</v>
      </c>
      <c r="N55">
        <v>0</v>
      </c>
      <c r="O55">
        <v>49.999999998</v>
      </c>
      <c r="P55">
        <v>0</v>
      </c>
      <c r="Q55">
        <v>0</v>
      </c>
      <c r="R55">
        <v>49.999999998</v>
      </c>
      <c r="S55" t="s">
        <v>110</v>
      </c>
      <c r="T55" t="s">
        <v>33</v>
      </c>
      <c r="U55">
        <v>10001013</v>
      </c>
      <c r="Y55" t="s">
        <v>128</v>
      </c>
      <c r="AC55" t="s">
        <v>129</v>
      </c>
    </row>
    <row r="56" spans="1:29" x14ac:dyDescent="0.45">
      <c r="A56" t="s">
        <v>26</v>
      </c>
      <c r="B56">
        <v>151316131</v>
      </c>
      <c r="C56">
        <v>10000064</v>
      </c>
      <c r="D56" t="s">
        <v>27</v>
      </c>
      <c r="E56" t="s">
        <v>28</v>
      </c>
      <c r="F56">
        <v>346126</v>
      </c>
      <c r="G56">
        <v>5521565901</v>
      </c>
      <c r="H56">
        <v>22150168</v>
      </c>
      <c r="I56" t="s">
        <v>29</v>
      </c>
      <c r="K56" t="s">
        <v>30</v>
      </c>
      <c r="L56" t="s">
        <v>40</v>
      </c>
      <c r="M56">
        <v>0</v>
      </c>
      <c r="N56">
        <v>0</v>
      </c>
      <c r="O56">
        <v>49.999999998</v>
      </c>
      <c r="P56">
        <v>0</v>
      </c>
      <c r="Q56">
        <v>0</v>
      </c>
      <c r="R56">
        <v>49.999999998</v>
      </c>
      <c r="S56" t="s">
        <v>110</v>
      </c>
      <c r="T56" t="s">
        <v>33</v>
      </c>
      <c r="U56">
        <v>10000064</v>
      </c>
      <c r="Y56" t="s">
        <v>128</v>
      </c>
      <c r="AC56" t="s">
        <v>129</v>
      </c>
    </row>
    <row r="57" spans="1:29" x14ac:dyDescent="0.45">
      <c r="A57" t="s">
        <v>26</v>
      </c>
      <c r="B57">
        <v>151379116</v>
      </c>
      <c r="C57">
        <v>10000064</v>
      </c>
      <c r="D57" t="s">
        <v>27</v>
      </c>
      <c r="E57" t="s">
        <v>28</v>
      </c>
      <c r="F57">
        <v>350703</v>
      </c>
      <c r="G57">
        <v>5550854349</v>
      </c>
      <c r="H57">
        <v>22778287</v>
      </c>
      <c r="I57" t="s">
        <v>29</v>
      </c>
      <c r="K57" t="s">
        <v>30</v>
      </c>
      <c r="L57" t="s">
        <v>40</v>
      </c>
      <c r="M57">
        <v>0</v>
      </c>
      <c r="N57">
        <v>0</v>
      </c>
      <c r="O57">
        <v>49.999999998</v>
      </c>
      <c r="P57">
        <v>0</v>
      </c>
      <c r="Q57">
        <v>0</v>
      </c>
      <c r="R57">
        <v>49.999999998</v>
      </c>
      <c r="S57" t="s">
        <v>113</v>
      </c>
      <c r="T57" t="s">
        <v>33</v>
      </c>
      <c r="U57">
        <v>10000064</v>
      </c>
      <c r="Y57" t="s">
        <v>128</v>
      </c>
      <c r="AC57" t="s">
        <v>129</v>
      </c>
    </row>
    <row r="58" spans="1:29" x14ac:dyDescent="0.45">
      <c r="A58" t="s">
        <v>26</v>
      </c>
      <c r="B58">
        <v>151379619</v>
      </c>
      <c r="C58">
        <v>10001013</v>
      </c>
      <c r="D58" t="s">
        <v>27</v>
      </c>
      <c r="E58" t="s">
        <v>28</v>
      </c>
      <c r="F58">
        <v>351030</v>
      </c>
      <c r="G58">
        <v>5525895949</v>
      </c>
      <c r="H58">
        <v>22706098</v>
      </c>
      <c r="I58" t="s">
        <v>29</v>
      </c>
      <c r="K58" t="s">
        <v>30</v>
      </c>
      <c r="L58" t="s">
        <v>52</v>
      </c>
      <c r="M58">
        <v>0</v>
      </c>
      <c r="N58">
        <v>0</v>
      </c>
      <c r="O58">
        <v>49.999999998</v>
      </c>
      <c r="P58">
        <v>0</v>
      </c>
      <c r="Q58">
        <v>0</v>
      </c>
      <c r="R58">
        <v>49.999999998</v>
      </c>
      <c r="S58" t="s">
        <v>115</v>
      </c>
      <c r="T58" t="s">
        <v>33</v>
      </c>
      <c r="U58">
        <v>10001013</v>
      </c>
      <c r="Y58" t="s">
        <v>128</v>
      </c>
      <c r="AC58" t="s">
        <v>129</v>
      </c>
    </row>
    <row r="59" spans="1:29" x14ac:dyDescent="0.45">
      <c r="A59" t="s">
        <v>26</v>
      </c>
      <c r="B59">
        <v>151382237</v>
      </c>
      <c r="C59">
        <v>10000064</v>
      </c>
      <c r="D59" t="s">
        <v>27</v>
      </c>
      <c r="E59" t="s">
        <v>28</v>
      </c>
      <c r="F59">
        <v>348485</v>
      </c>
      <c r="G59">
        <v>5522344501</v>
      </c>
      <c r="H59">
        <v>22730966</v>
      </c>
      <c r="I59" t="s">
        <v>29</v>
      </c>
      <c r="K59" t="s">
        <v>30</v>
      </c>
      <c r="L59" t="s">
        <v>42</v>
      </c>
      <c r="M59">
        <v>0</v>
      </c>
      <c r="N59">
        <v>0</v>
      </c>
      <c r="O59">
        <v>49.999999998</v>
      </c>
      <c r="P59">
        <v>0</v>
      </c>
      <c r="Q59">
        <v>0</v>
      </c>
      <c r="R59">
        <v>49.999999998</v>
      </c>
      <c r="S59" t="s">
        <v>120</v>
      </c>
      <c r="T59" t="s">
        <v>33</v>
      </c>
      <c r="U59">
        <v>10000064</v>
      </c>
      <c r="Y59" t="s">
        <v>128</v>
      </c>
      <c r="AC59" t="s">
        <v>129</v>
      </c>
    </row>
    <row r="60" spans="1:29" x14ac:dyDescent="0.45">
      <c r="A60" t="s">
        <v>26</v>
      </c>
      <c r="B60">
        <v>151383106</v>
      </c>
      <c r="C60">
        <v>10000064</v>
      </c>
      <c r="D60" t="s">
        <v>27</v>
      </c>
      <c r="E60" t="s">
        <v>28</v>
      </c>
      <c r="F60">
        <v>350703</v>
      </c>
      <c r="G60">
        <v>5570388858</v>
      </c>
      <c r="H60">
        <v>22758735</v>
      </c>
      <c r="I60" t="s">
        <v>29</v>
      </c>
      <c r="K60" t="s">
        <v>30</v>
      </c>
      <c r="L60" t="s">
        <v>40</v>
      </c>
      <c r="M60">
        <v>0</v>
      </c>
      <c r="N60">
        <v>0</v>
      </c>
      <c r="O60">
        <v>49.999999998</v>
      </c>
      <c r="P60">
        <v>0</v>
      </c>
      <c r="Q60">
        <v>0</v>
      </c>
      <c r="R60">
        <v>49.999999998</v>
      </c>
      <c r="S60" t="s">
        <v>110</v>
      </c>
      <c r="T60" t="s">
        <v>33</v>
      </c>
      <c r="U60">
        <v>10000064</v>
      </c>
      <c r="Y60" t="s">
        <v>128</v>
      </c>
      <c r="AC60" t="s">
        <v>129</v>
      </c>
    </row>
    <row r="61" spans="1:29" x14ac:dyDescent="0.45">
      <c r="A61" t="s">
        <v>26</v>
      </c>
      <c r="B61">
        <v>151384340</v>
      </c>
      <c r="C61">
        <v>10001013</v>
      </c>
      <c r="D61" t="s">
        <v>27</v>
      </c>
      <c r="E61" t="s">
        <v>28</v>
      </c>
      <c r="F61">
        <v>348467</v>
      </c>
      <c r="G61">
        <v>5552053248</v>
      </c>
      <c r="H61">
        <v>22820182</v>
      </c>
      <c r="I61" t="s">
        <v>29</v>
      </c>
      <c r="K61" t="s">
        <v>30</v>
      </c>
      <c r="L61" t="s">
        <v>42</v>
      </c>
      <c r="M61">
        <v>0</v>
      </c>
      <c r="N61">
        <v>0</v>
      </c>
      <c r="O61">
        <v>49.999999998</v>
      </c>
      <c r="P61">
        <v>0</v>
      </c>
      <c r="Q61">
        <v>0</v>
      </c>
      <c r="R61">
        <v>49.999999998</v>
      </c>
      <c r="S61" t="s">
        <v>110</v>
      </c>
      <c r="T61" t="s">
        <v>33</v>
      </c>
      <c r="U61">
        <v>10001013</v>
      </c>
      <c r="Y61" t="s">
        <v>128</v>
      </c>
      <c r="AC61" t="s">
        <v>129</v>
      </c>
    </row>
    <row r="62" spans="1:29" x14ac:dyDescent="0.45">
      <c r="A62" t="s">
        <v>26</v>
      </c>
      <c r="B62">
        <v>151384604</v>
      </c>
      <c r="C62">
        <v>10000064</v>
      </c>
      <c r="D62" t="s">
        <v>27</v>
      </c>
      <c r="E62" t="s">
        <v>28</v>
      </c>
      <c r="F62">
        <v>351037</v>
      </c>
      <c r="G62">
        <v>5524730701</v>
      </c>
      <c r="H62">
        <v>22761757</v>
      </c>
      <c r="I62" t="s">
        <v>29</v>
      </c>
      <c r="K62" t="s">
        <v>30</v>
      </c>
      <c r="L62" t="s">
        <v>39</v>
      </c>
      <c r="M62">
        <v>0</v>
      </c>
      <c r="N62">
        <v>0</v>
      </c>
      <c r="O62">
        <v>49.999999998</v>
      </c>
      <c r="P62">
        <v>0</v>
      </c>
      <c r="Q62">
        <v>0</v>
      </c>
      <c r="R62">
        <v>49.999999998</v>
      </c>
      <c r="S62" t="s">
        <v>115</v>
      </c>
      <c r="T62" t="s">
        <v>33</v>
      </c>
      <c r="U62">
        <v>10000064</v>
      </c>
      <c r="Y62" t="s">
        <v>128</v>
      </c>
      <c r="AC62" t="s">
        <v>129</v>
      </c>
    </row>
    <row r="63" spans="1:29" x14ac:dyDescent="0.45">
      <c r="A63" t="s">
        <v>26</v>
      </c>
      <c r="B63">
        <v>151384648</v>
      </c>
      <c r="C63">
        <v>10000064</v>
      </c>
      <c r="D63" t="s">
        <v>27</v>
      </c>
      <c r="E63" t="s">
        <v>28</v>
      </c>
      <c r="F63">
        <v>351040</v>
      </c>
      <c r="G63">
        <v>5559227682</v>
      </c>
      <c r="H63">
        <v>22771134</v>
      </c>
      <c r="I63" t="s">
        <v>29</v>
      </c>
      <c r="K63" t="s">
        <v>30</v>
      </c>
      <c r="L63" t="s">
        <v>45</v>
      </c>
      <c r="M63">
        <v>0</v>
      </c>
      <c r="N63">
        <v>0</v>
      </c>
      <c r="O63">
        <v>49.999999998</v>
      </c>
      <c r="P63">
        <v>0</v>
      </c>
      <c r="Q63">
        <v>0</v>
      </c>
      <c r="R63">
        <v>49.999999998</v>
      </c>
      <c r="S63" t="s">
        <v>110</v>
      </c>
      <c r="T63" t="s">
        <v>33</v>
      </c>
      <c r="U63">
        <v>10000064</v>
      </c>
      <c r="Y63" t="s">
        <v>128</v>
      </c>
      <c r="AC63" t="s">
        <v>129</v>
      </c>
    </row>
    <row r="64" spans="1:29" x14ac:dyDescent="0.45">
      <c r="A64" t="s">
        <v>26</v>
      </c>
      <c r="B64">
        <v>151386396</v>
      </c>
      <c r="C64">
        <v>10000064</v>
      </c>
      <c r="D64" t="s">
        <v>27</v>
      </c>
      <c r="E64" t="s">
        <v>28</v>
      </c>
      <c r="F64">
        <v>351037</v>
      </c>
      <c r="G64">
        <v>5517138169</v>
      </c>
      <c r="H64">
        <v>22782168</v>
      </c>
      <c r="I64" t="s">
        <v>29</v>
      </c>
      <c r="K64" t="s">
        <v>30</v>
      </c>
      <c r="L64" t="s">
        <v>31</v>
      </c>
      <c r="M64">
        <v>0</v>
      </c>
      <c r="N64">
        <v>0</v>
      </c>
      <c r="O64">
        <v>49.999999998</v>
      </c>
      <c r="P64">
        <v>0</v>
      </c>
      <c r="Q64">
        <v>0</v>
      </c>
      <c r="R64">
        <v>49.999999998</v>
      </c>
      <c r="S64" t="s">
        <v>131</v>
      </c>
      <c r="T64" t="s">
        <v>33</v>
      </c>
      <c r="U64">
        <v>10000064</v>
      </c>
      <c r="Y64" t="s">
        <v>128</v>
      </c>
      <c r="AC64" t="s">
        <v>129</v>
      </c>
    </row>
    <row r="65" spans="1:29" x14ac:dyDescent="0.45">
      <c r="A65" t="s">
        <v>26</v>
      </c>
      <c r="B65">
        <v>151386479</v>
      </c>
      <c r="C65">
        <v>10000064</v>
      </c>
      <c r="D65" t="s">
        <v>27</v>
      </c>
      <c r="E65" t="s">
        <v>28</v>
      </c>
      <c r="F65">
        <v>351040</v>
      </c>
      <c r="G65">
        <v>5550871111</v>
      </c>
      <c r="H65">
        <v>22783513</v>
      </c>
      <c r="I65" t="s">
        <v>29</v>
      </c>
      <c r="K65" t="s">
        <v>30</v>
      </c>
      <c r="L65" t="s">
        <v>39</v>
      </c>
      <c r="M65">
        <v>0</v>
      </c>
      <c r="N65">
        <v>0</v>
      </c>
      <c r="O65">
        <v>49.999999998</v>
      </c>
      <c r="P65">
        <v>0</v>
      </c>
      <c r="Q65">
        <v>0</v>
      </c>
      <c r="R65">
        <v>49.999999998</v>
      </c>
      <c r="S65" t="s">
        <v>115</v>
      </c>
      <c r="T65" t="s">
        <v>33</v>
      </c>
      <c r="U65">
        <v>10000064</v>
      </c>
      <c r="Y65" t="s">
        <v>128</v>
      </c>
      <c r="AC65" t="s">
        <v>129</v>
      </c>
    </row>
    <row r="66" spans="1:29" x14ac:dyDescent="0.45">
      <c r="A66" t="s">
        <v>26</v>
      </c>
      <c r="B66">
        <v>151386495</v>
      </c>
      <c r="C66">
        <v>10001013</v>
      </c>
      <c r="D66" t="s">
        <v>27</v>
      </c>
      <c r="E66" t="s">
        <v>28</v>
      </c>
      <c r="F66">
        <v>348467</v>
      </c>
      <c r="G66">
        <v>5519444840</v>
      </c>
      <c r="H66">
        <v>22782809</v>
      </c>
      <c r="I66" t="s">
        <v>29</v>
      </c>
      <c r="K66" t="s">
        <v>30</v>
      </c>
      <c r="L66" t="s">
        <v>42</v>
      </c>
      <c r="M66">
        <v>0</v>
      </c>
      <c r="N66">
        <v>0</v>
      </c>
      <c r="O66">
        <v>49.999999998</v>
      </c>
      <c r="P66">
        <v>0</v>
      </c>
      <c r="Q66">
        <v>0</v>
      </c>
      <c r="R66">
        <v>49.999999998</v>
      </c>
      <c r="S66" t="s">
        <v>110</v>
      </c>
      <c r="T66" t="s">
        <v>33</v>
      </c>
      <c r="U66">
        <v>10001013</v>
      </c>
      <c r="Y66" t="s">
        <v>128</v>
      </c>
      <c r="AC66" t="s">
        <v>129</v>
      </c>
    </row>
    <row r="67" spans="1:29" x14ac:dyDescent="0.45">
      <c r="A67" t="s">
        <v>26</v>
      </c>
      <c r="B67">
        <v>151388431</v>
      </c>
      <c r="C67">
        <v>10001013</v>
      </c>
      <c r="D67" t="s">
        <v>27</v>
      </c>
      <c r="E67" t="s">
        <v>28</v>
      </c>
      <c r="F67">
        <v>351030</v>
      </c>
      <c r="G67">
        <v>5516439131</v>
      </c>
      <c r="H67">
        <v>22806585</v>
      </c>
      <c r="I67" t="s">
        <v>29</v>
      </c>
      <c r="K67" t="s">
        <v>30</v>
      </c>
      <c r="L67" t="s">
        <v>42</v>
      </c>
      <c r="M67">
        <v>0</v>
      </c>
      <c r="N67">
        <v>0</v>
      </c>
      <c r="O67">
        <v>49.999999998</v>
      </c>
      <c r="P67">
        <v>0</v>
      </c>
      <c r="Q67">
        <v>0</v>
      </c>
      <c r="R67">
        <v>49.999999998</v>
      </c>
      <c r="S67" t="s">
        <v>115</v>
      </c>
      <c r="T67" t="s">
        <v>33</v>
      </c>
      <c r="U67">
        <v>10001013</v>
      </c>
      <c r="Y67" t="s">
        <v>128</v>
      </c>
      <c r="AC67" t="s">
        <v>129</v>
      </c>
    </row>
    <row r="68" spans="1:29" x14ac:dyDescent="0.45">
      <c r="A68" t="s">
        <v>26</v>
      </c>
      <c r="B68">
        <v>151401720</v>
      </c>
      <c r="C68">
        <v>10000064</v>
      </c>
      <c r="D68" t="s">
        <v>27</v>
      </c>
      <c r="E68" t="s">
        <v>28</v>
      </c>
      <c r="F68">
        <v>351040</v>
      </c>
      <c r="G68">
        <v>5526157909</v>
      </c>
      <c r="H68">
        <v>22996125</v>
      </c>
      <c r="I68" t="s">
        <v>29</v>
      </c>
      <c r="K68" t="s">
        <v>30</v>
      </c>
      <c r="L68" t="s">
        <v>42</v>
      </c>
      <c r="M68">
        <v>0</v>
      </c>
      <c r="N68">
        <v>0</v>
      </c>
      <c r="O68">
        <v>75.000000009999994</v>
      </c>
      <c r="P68">
        <v>0</v>
      </c>
      <c r="Q68">
        <v>0</v>
      </c>
      <c r="R68">
        <v>75.000000009999994</v>
      </c>
      <c r="S68" t="s">
        <v>115</v>
      </c>
      <c r="T68" t="s">
        <v>58</v>
      </c>
      <c r="U68">
        <v>10000064</v>
      </c>
      <c r="Y68" t="s">
        <v>76</v>
      </c>
      <c r="AC68" t="s">
        <v>132</v>
      </c>
    </row>
    <row r="69" spans="1:29" x14ac:dyDescent="0.45">
      <c r="A69" t="s">
        <v>26</v>
      </c>
      <c r="B69">
        <v>151326581</v>
      </c>
      <c r="C69">
        <v>10000064</v>
      </c>
      <c r="D69" t="s">
        <v>27</v>
      </c>
      <c r="E69" t="s">
        <v>28</v>
      </c>
      <c r="F69">
        <v>346196</v>
      </c>
      <c r="G69">
        <v>5526073993</v>
      </c>
      <c r="H69">
        <v>22106183</v>
      </c>
      <c r="I69" t="s">
        <v>29</v>
      </c>
      <c r="K69" t="s">
        <v>30</v>
      </c>
      <c r="L69" t="s">
        <v>39</v>
      </c>
      <c r="M69">
        <v>0</v>
      </c>
      <c r="N69">
        <v>0</v>
      </c>
      <c r="O69">
        <v>75.000000009999994</v>
      </c>
      <c r="P69">
        <v>0</v>
      </c>
      <c r="Q69">
        <v>0</v>
      </c>
      <c r="R69">
        <v>75.000000009999994</v>
      </c>
      <c r="S69" t="s">
        <v>110</v>
      </c>
      <c r="T69" t="s">
        <v>58</v>
      </c>
      <c r="U69">
        <v>10000064</v>
      </c>
      <c r="Y69" t="s">
        <v>76</v>
      </c>
      <c r="AC69" t="s">
        <v>132</v>
      </c>
    </row>
    <row r="70" spans="1:29" x14ac:dyDescent="0.45">
      <c r="A70" t="s">
        <v>26</v>
      </c>
      <c r="B70">
        <v>151352128</v>
      </c>
      <c r="C70">
        <v>10000064</v>
      </c>
      <c r="D70" t="s">
        <v>27</v>
      </c>
      <c r="E70" t="s">
        <v>28</v>
      </c>
      <c r="F70">
        <v>348485</v>
      </c>
      <c r="G70">
        <v>5592374847</v>
      </c>
      <c r="H70">
        <v>22380923</v>
      </c>
      <c r="I70" t="s">
        <v>29</v>
      </c>
      <c r="K70" t="s">
        <v>30</v>
      </c>
      <c r="L70" t="s">
        <v>40</v>
      </c>
      <c r="M70">
        <v>0</v>
      </c>
      <c r="N70">
        <v>0</v>
      </c>
      <c r="O70">
        <v>75.000000009999994</v>
      </c>
      <c r="P70">
        <v>0</v>
      </c>
      <c r="Q70">
        <v>0</v>
      </c>
      <c r="R70">
        <v>75.000000009999994</v>
      </c>
      <c r="S70" t="s">
        <v>110</v>
      </c>
      <c r="T70" t="s">
        <v>58</v>
      </c>
      <c r="U70">
        <v>10000064</v>
      </c>
      <c r="Y70" t="s">
        <v>76</v>
      </c>
      <c r="AC70" t="s">
        <v>132</v>
      </c>
    </row>
    <row r="71" spans="1:29" x14ac:dyDescent="0.45">
      <c r="A71" t="s">
        <v>26</v>
      </c>
      <c r="B71">
        <v>151358405</v>
      </c>
      <c r="C71">
        <v>10001013</v>
      </c>
      <c r="D71" t="s">
        <v>27</v>
      </c>
      <c r="E71" t="s">
        <v>28</v>
      </c>
      <c r="F71">
        <v>345495</v>
      </c>
      <c r="G71">
        <v>5558621152</v>
      </c>
      <c r="H71">
        <v>22437453</v>
      </c>
      <c r="I71" t="s">
        <v>29</v>
      </c>
      <c r="K71" t="s">
        <v>30</v>
      </c>
      <c r="L71" t="s">
        <v>39</v>
      </c>
      <c r="M71">
        <v>150.00000001999999</v>
      </c>
      <c r="N71">
        <v>0</v>
      </c>
      <c r="O71">
        <v>0</v>
      </c>
      <c r="P71">
        <v>0</v>
      </c>
      <c r="Q71">
        <v>0</v>
      </c>
      <c r="R71">
        <v>150.00000001999999</v>
      </c>
      <c r="S71" t="s">
        <v>110</v>
      </c>
      <c r="T71" t="s">
        <v>38</v>
      </c>
      <c r="U71">
        <v>10001013</v>
      </c>
      <c r="Y71" t="s">
        <v>76</v>
      </c>
      <c r="AC71" t="s">
        <v>132</v>
      </c>
    </row>
    <row r="72" spans="1:29" x14ac:dyDescent="0.45">
      <c r="A72" t="s">
        <v>26</v>
      </c>
      <c r="B72">
        <v>151373250</v>
      </c>
      <c r="C72">
        <v>10000064</v>
      </c>
      <c r="D72" t="s">
        <v>27</v>
      </c>
      <c r="E72" t="s">
        <v>28</v>
      </c>
      <c r="F72">
        <v>346126</v>
      </c>
      <c r="G72">
        <v>5517161744</v>
      </c>
      <c r="H72">
        <v>22598540</v>
      </c>
      <c r="I72" t="s">
        <v>29</v>
      </c>
      <c r="K72" t="s">
        <v>30</v>
      </c>
      <c r="L72" t="s">
        <v>55</v>
      </c>
      <c r="M72">
        <v>0</v>
      </c>
      <c r="N72">
        <v>0</v>
      </c>
      <c r="O72">
        <v>75.000000009999994</v>
      </c>
      <c r="P72">
        <v>0</v>
      </c>
      <c r="Q72">
        <v>0</v>
      </c>
      <c r="R72">
        <v>75.000000009999994</v>
      </c>
      <c r="S72" t="s">
        <v>110</v>
      </c>
      <c r="T72" t="s">
        <v>58</v>
      </c>
      <c r="U72">
        <v>10000064</v>
      </c>
      <c r="Y72" t="s">
        <v>76</v>
      </c>
      <c r="AC72" t="s">
        <v>132</v>
      </c>
    </row>
    <row r="73" spans="1:29" x14ac:dyDescent="0.45">
      <c r="A73" t="s">
        <v>26</v>
      </c>
      <c r="B73">
        <v>151386817</v>
      </c>
      <c r="C73">
        <v>10000064</v>
      </c>
      <c r="D73" t="s">
        <v>27</v>
      </c>
      <c r="E73" t="s">
        <v>28</v>
      </c>
      <c r="F73">
        <v>346126</v>
      </c>
      <c r="G73">
        <v>5515397216</v>
      </c>
      <c r="H73">
        <v>22923269</v>
      </c>
      <c r="I73" t="s">
        <v>29</v>
      </c>
      <c r="K73" t="s">
        <v>30</v>
      </c>
      <c r="L73" t="s">
        <v>40</v>
      </c>
      <c r="M73">
        <v>0</v>
      </c>
      <c r="N73">
        <v>0</v>
      </c>
      <c r="O73">
        <v>75.000000009999994</v>
      </c>
      <c r="P73">
        <v>0</v>
      </c>
      <c r="Q73">
        <v>0</v>
      </c>
      <c r="R73">
        <v>75.000000009999994</v>
      </c>
      <c r="S73" t="s">
        <v>110</v>
      </c>
      <c r="T73" t="s">
        <v>58</v>
      </c>
      <c r="U73">
        <v>10000064</v>
      </c>
      <c r="Y73" t="s">
        <v>76</v>
      </c>
      <c r="AC73" t="s">
        <v>132</v>
      </c>
    </row>
    <row r="74" spans="1:29" x14ac:dyDescent="0.45">
      <c r="A74" t="s">
        <v>26</v>
      </c>
      <c r="B74">
        <v>151387947</v>
      </c>
      <c r="C74">
        <v>10001013</v>
      </c>
      <c r="D74" t="s">
        <v>27</v>
      </c>
      <c r="E74" t="s">
        <v>28</v>
      </c>
      <c r="F74">
        <v>351030</v>
      </c>
      <c r="G74">
        <v>5590300287</v>
      </c>
      <c r="H74">
        <v>22794476</v>
      </c>
      <c r="I74" t="s">
        <v>29</v>
      </c>
      <c r="K74" t="s">
        <v>30</v>
      </c>
      <c r="L74" t="s">
        <v>40</v>
      </c>
      <c r="M74">
        <v>0</v>
      </c>
      <c r="N74">
        <v>0</v>
      </c>
      <c r="O74">
        <v>75.000000009999994</v>
      </c>
      <c r="P74">
        <v>0</v>
      </c>
      <c r="Q74">
        <v>0</v>
      </c>
      <c r="R74">
        <v>75.000000009999994</v>
      </c>
      <c r="S74" t="s">
        <v>110</v>
      </c>
      <c r="T74" t="s">
        <v>58</v>
      </c>
      <c r="U74">
        <v>10001013</v>
      </c>
      <c r="Y74" t="s">
        <v>76</v>
      </c>
      <c r="AC74" t="s">
        <v>132</v>
      </c>
    </row>
    <row r="75" spans="1:29" x14ac:dyDescent="0.45">
      <c r="A75" t="s">
        <v>26</v>
      </c>
      <c r="B75">
        <v>151393793</v>
      </c>
      <c r="C75">
        <v>10000064</v>
      </c>
      <c r="D75" t="s">
        <v>27</v>
      </c>
      <c r="E75" t="s">
        <v>28</v>
      </c>
      <c r="F75">
        <v>350703</v>
      </c>
      <c r="G75">
        <v>5558628679</v>
      </c>
      <c r="H75">
        <v>22885260</v>
      </c>
      <c r="I75" t="s">
        <v>29</v>
      </c>
      <c r="K75" t="s">
        <v>30</v>
      </c>
      <c r="L75" t="s">
        <v>61</v>
      </c>
      <c r="M75">
        <v>0</v>
      </c>
      <c r="N75">
        <v>0</v>
      </c>
      <c r="O75">
        <v>75.000000009999994</v>
      </c>
      <c r="P75">
        <v>0</v>
      </c>
      <c r="Q75">
        <v>0</v>
      </c>
      <c r="R75">
        <v>75.000000009999994</v>
      </c>
      <c r="S75" t="s">
        <v>110</v>
      </c>
      <c r="T75" t="s">
        <v>58</v>
      </c>
      <c r="U75">
        <v>10000064</v>
      </c>
      <c r="Y75" t="s">
        <v>76</v>
      </c>
      <c r="AC75" t="s">
        <v>132</v>
      </c>
    </row>
    <row r="76" spans="1:29" x14ac:dyDescent="0.45">
      <c r="A76" t="s">
        <v>26</v>
      </c>
      <c r="B76">
        <v>151395109</v>
      </c>
      <c r="C76">
        <v>10001013</v>
      </c>
      <c r="D76" t="s">
        <v>27</v>
      </c>
      <c r="E76" t="s">
        <v>28</v>
      </c>
      <c r="F76">
        <v>351030</v>
      </c>
      <c r="G76">
        <v>5521214451</v>
      </c>
      <c r="H76">
        <v>22915385</v>
      </c>
      <c r="I76" t="s">
        <v>29</v>
      </c>
      <c r="K76" t="s">
        <v>30</v>
      </c>
      <c r="L76" t="s">
        <v>61</v>
      </c>
      <c r="M76">
        <v>0</v>
      </c>
      <c r="N76">
        <v>0</v>
      </c>
      <c r="O76">
        <v>75.000000009999994</v>
      </c>
      <c r="P76">
        <v>0</v>
      </c>
      <c r="Q76">
        <v>0</v>
      </c>
      <c r="R76">
        <v>75.000000009999994</v>
      </c>
      <c r="S76" t="s">
        <v>110</v>
      </c>
      <c r="T76" t="s">
        <v>58</v>
      </c>
      <c r="U76">
        <v>10001013</v>
      </c>
      <c r="Y76" t="s">
        <v>76</v>
      </c>
      <c r="AC76" t="s">
        <v>132</v>
      </c>
    </row>
    <row r="77" spans="1:29" x14ac:dyDescent="0.45">
      <c r="A77" t="s">
        <v>26</v>
      </c>
      <c r="B77">
        <v>151396668</v>
      </c>
      <c r="C77">
        <v>10001013</v>
      </c>
      <c r="D77" t="s">
        <v>27</v>
      </c>
      <c r="E77" t="s">
        <v>28</v>
      </c>
      <c r="F77">
        <v>350677</v>
      </c>
      <c r="G77">
        <v>5526073087</v>
      </c>
      <c r="H77">
        <v>22932973</v>
      </c>
      <c r="I77" t="s">
        <v>29</v>
      </c>
      <c r="K77" t="s">
        <v>30</v>
      </c>
      <c r="L77" t="s">
        <v>62</v>
      </c>
      <c r="M77">
        <v>0</v>
      </c>
      <c r="N77">
        <v>0</v>
      </c>
      <c r="O77">
        <v>75.000000009999994</v>
      </c>
      <c r="P77">
        <v>0</v>
      </c>
      <c r="Q77">
        <v>0</v>
      </c>
      <c r="R77">
        <v>75.000000009999994</v>
      </c>
      <c r="S77" t="s">
        <v>115</v>
      </c>
      <c r="T77" t="s">
        <v>58</v>
      </c>
      <c r="U77">
        <v>10001013</v>
      </c>
      <c r="Y77" t="s">
        <v>76</v>
      </c>
      <c r="AC77" t="s">
        <v>132</v>
      </c>
    </row>
    <row r="78" spans="1:29" x14ac:dyDescent="0.45">
      <c r="A78" t="s">
        <v>26</v>
      </c>
      <c r="B78">
        <v>151396712</v>
      </c>
      <c r="C78">
        <v>10000064</v>
      </c>
      <c r="D78" t="s">
        <v>27</v>
      </c>
      <c r="E78" t="s">
        <v>28</v>
      </c>
      <c r="F78">
        <v>350703</v>
      </c>
      <c r="G78">
        <v>5593884153</v>
      </c>
      <c r="H78">
        <v>22939415</v>
      </c>
      <c r="I78" t="s">
        <v>29</v>
      </c>
      <c r="K78" t="s">
        <v>30</v>
      </c>
      <c r="L78" t="s">
        <v>40</v>
      </c>
      <c r="M78">
        <v>0</v>
      </c>
      <c r="N78">
        <v>0</v>
      </c>
      <c r="O78">
        <v>75.000000009999994</v>
      </c>
      <c r="P78">
        <v>0</v>
      </c>
      <c r="Q78">
        <v>0</v>
      </c>
      <c r="R78">
        <v>75.000000009999994</v>
      </c>
      <c r="S78" t="s">
        <v>110</v>
      </c>
      <c r="T78" t="s">
        <v>58</v>
      </c>
      <c r="U78">
        <v>10000064</v>
      </c>
      <c r="Y78" t="s">
        <v>76</v>
      </c>
      <c r="AC78" t="s">
        <v>132</v>
      </c>
    </row>
    <row r="79" spans="1:29" x14ac:dyDescent="0.45">
      <c r="A79" t="s">
        <v>26</v>
      </c>
      <c r="B79">
        <v>151396773</v>
      </c>
      <c r="C79">
        <v>10000064</v>
      </c>
      <c r="D79" t="s">
        <v>27</v>
      </c>
      <c r="E79" t="s">
        <v>28</v>
      </c>
      <c r="F79">
        <v>351040</v>
      </c>
      <c r="G79">
        <v>5555483910</v>
      </c>
      <c r="H79">
        <v>22971331</v>
      </c>
      <c r="I79" t="s">
        <v>29</v>
      </c>
      <c r="K79" t="s">
        <v>30</v>
      </c>
      <c r="L79" t="s">
        <v>40</v>
      </c>
      <c r="M79">
        <v>0</v>
      </c>
      <c r="N79">
        <v>0</v>
      </c>
      <c r="O79">
        <v>75.000000009999994</v>
      </c>
      <c r="P79">
        <v>0</v>
      </c>
      <c r="Q79">
        <v>0</v>
      </c>
      <c r="R79">
        <v>75.000000009999994</v>
      </c>
      <c r="S79" t="s">
        <v>110</v>
      </c>
      <c r="T79" t="s">
        <v>58</v>
      </c>
      <c r="U79">
        <v>10000064</v>
      </c>
      <c r="Y79" t="s">
        <v>76</v>
      </c>
      <c r="AC79" t="s">
        <v>132</v>
      </c>
    </row>
    <row r="80" spans="1:29" x14ac:dyDescent="0.45">
      <c r="A80" t="s">
        <v>26</v>
      </c>
      <c r="B80">
        <v>151396902</v>
      </c>
      <c r="C80">
        <v>10000064</v>
      </c>
      <c r="D80" t="s">
        <v>27</v>
      </c>
      <c r="E80" t="s">
        <v>28</v>
      </c>
      <c r="F80">
        <v>350703</v>
      </c>
      <c r="G80">
        <v>5511850748</v>
      </c>
      <c r="H80">
        <v>22929125</v>
      </c>
      <c r="I80" t="s">
        <v>29</v>
      </c>
      <c r="K80" t="s">
        <v>30</v>
      </c>
      <c r="L80" t="s">
        <v>39</v>
      </c>
      <c r="M80">
        <v>0</v>
      </c>
      <c r="N80">
        <v>0</v>
      </c>
      <c r="O80">
        <v>75.000000009999994</v>
      </c>
      <c r="P80">
        <v>0</v>
      </c>
      <c r="Q80">
        <v>0</v>
      </c>
      <c r="R80">
        <v>75.000000009999994</v>
      </c>
      <c r="S80" t="s">
        <v>114</v>
      </c>
      <c r="T80" t="s">
        <v>58</v>
      </c>
      <c r="U80">
        <v>10000064</v>
      </c>
      <c r="Y80" t="s">
        <v>76</v>
      </c>
      <c r="AC80" t="s">
        <v>132</v>
      </c>
    </row>
    <row r="81" spans="1:29" x14ac:dyDescent="0.45">
      <c r="A81" t="s">
        <v>26</v>
      </c>
      <c r="B81">
        <v>151399011</v>
      </c>
      <c r="C81">
        <v>10001013</v>
      </c>
      <c r="D81" t="s">
        <v>27</v>
      </c>
      <c r="E81" t="s">
        <v>28</v>
      </c>
      <c r="F81">
        <v>350677</v>
      </c>
      <c r="G81">
        <v>5596367938</v>
      </c>
      <c r="H81">
        <v>22953598</v>
      </c>
      <c r="I81" t="s">
        <v>29</v>
      </c>
      <c r="K81" t="s">
        <v>30</v>
      </c>
      <c r="L81" t="s">
        <v>40</v>
      </c>
      <c r="M81">
        <v>0</v>
      </c>
      <c r="N81">
        <v>0</v>
      </c>
      <c r="O81">
        <v>75.000000009999994</v>
      </c>
      <c r="P81">
        <v>0</v>
      </c>
      <c r="Q81">
        <v>0</v>
      </c>
      <c r="R81">
        <v>75.000000009999994</v>
      </c>
      <c r="S81" t="s">
        <v>110</v>
      </c>
      <c r="T81" t="s">
        <v>58</v>
      </c>
      <c r="U81">
        <v>10001013</v>
      </c>
      <c r="Y81" t="s">
        <v>76</v>
      </c>
      <c r="AC81" t="s">
        <v>132</v>
      </c>
    </row>
    <row r="82" spans="1:29" x14ac:dyDescent="0.45">
      <c r="A82" t="s">
        <v>26</v>
      </c>
      <c r="B82">
        <v>151399037</v>
      </c>
      <c r="C82">
        <v>10001013</v>
      </c>
      <c r="D82" t="s">
        <v>27</v>
      </c>
      <c r="E82" t="s">
        <v>28</v>
      </c>
      <c r="F82">
        <v>351030</v>
      </c>
      <c r="G82">
        <v>5523455965</v>
      </c>
      <c r="H82">
        <v>22951252</v>
      </c>
      <c r="I82" t="s">
        <v>29</v>
      </c>
      <c r="K82" t="s">
        <v>30</v>
      </c>
      <c r="L82" t="s">
        <v>36</v>
      </c>
      <c r="M82">
        <v>0</v>
      </c>
      <c r="N82">
        <v>0</v>
      </c>
      <c r="O82">
        <v>75.000000009999994</v>
      </c>
      <c r="P82">
        <v>0</v>
      </c>
      <c r="Q82">
        <v>0</v>
      </c>
      <c r="R82">
        <v>75.000000009999994</v>
      </c>
      <c r="S82" t="s">
        <v>115</v>
      </c>
      <c r="T82" t="s">
        <v>58</v>
      </c>
      <c r="U82">
        <v>10001013</v>
      </c>
      <c r="Y82" t="s">
        <v>76</v>
      </c>
      <c r="AC82" t="s">
        <v>132</v>
      </c>
    </row>
    <row r="83" spans="1:29" x14ac:dyDescent="0.45">
      <c r="A83" t="s">
        <v>26</v>
      </c>
      <c r="B83">
        <v>151445949</v>
      </c>
      <c r="C83">
        <v>10000064</v>
      </c>
      <c r="D83" t="s">
        <v>27</v>
      </c>
      <c r="E83" t="s">
        <v>28</v>
      </c>
      <c r="F83">
        <v>353921</v>
      </c>
      <c r="G83">
        <v>5556673501</v>
      </c>
      <c r="H83">
        <v>24099246</v>
      </c>
      <c r="I83" t="s">
        <v>29</v>
      </c>
      <c r="K83" t="s">
        <v>30</v>
      </c>
      <c r="L83" t="s">
        <v>36</v>
      </c>
      <c r="M83">
        <v>150.00000001999999</v>
      </c>
      <c r="N83">
        <v>0</v>
      </c>
      <c r="O83">
        <v>0</v>
      </c>
      <c r="P83">
        <v>0</v>
      </c>
      <c r="Q83">
        <v>0</v>
      </c>
      <c r="R83">
        <v>150.00000001999999</v>
      </c>
      <c r="S83" t="s">
        <v>110</v>
      </c>
      <c r="T83" t="s">
        <v>38</v>
      </c>
      <c r="U83">
        <v>10000064</v>
      </c>
      <c r="Y83" t="s">
        <v>76</v>
      </c>
      <c r="AC83" t="s">
        <v>132</v>
      </c>
    </row>
    <row r="84" spans="1:29" x14ac:dyDescent="0.45">
      <c r="A84" t="s">
        <v>26</v>
      </c>
      <c r="B84">
        <v>151409785</v>
      </c>
      <c r="C84">
        <v>10001013</v>
      </c>
      <c r="D84" t="s">
        <v>27</v>
      </c>
      <c r="E84" t="s">
        <v>28</v>
      </c>
      <c r="F84">
        <v>351715</v>
      </c>
      <c r="G84">
        <v>5521565309</v>
      </c>
      <c r="H84">
        <v>23332352</v>
      </c>
      <c r="I84" t="s">
        <v>29</v>
      </c>
      <c r="K84" t="s">
        <v>30</v>
      </c>
      <c r="L84" t="s">
        <v>42</v>
      </c>
      <c r="M84">
        <v>0</v>
      </c>
      <c r="N84">
        <v>0</v>
      </c>
      <c r="O84">
        <v>75.000000009999994</v>
      </c>
      <c r="P84">
        <v>0</v>
      </c>
      <c r="Q84">
        <v>0</v>
      </c>
      <c r="R84">
        <v>75.000000009999994</v>
      </c>
      <c r="S84" t="s">
        <v>114</v>
      </c>
      <c r="T84" t="s">
        <v>58</v>
      </c>
      <c r="U84">
        <v>10001013</v>
      </c>
      <c r="Y84" t="s">
        <v>76</v>
      </c>
      <c r="AC84" t="s">
        <v>132</v>
      </c>
    </row>
    <row r="85" spans="1:29" x14ac:dyDescent="0.45">
      <c r="A85" t="s">
        <v>26</v>
      </c>
      <c r="B85">
        <v>151410686</v>
      </c>
      <c r="C85">
        <v>10000064</v>
      </c>
      <c r="D85" t="s">
        <v>27</v>
      </c>
      <c r="E85" t="s">
        <v>28</v>
      </c>
      <c r="F85">
        <v>346072</v>
      </c>
      <c r="G85">
        <v>5552456331</v>
      </c>
      <c r="H85">
        <v>23382543</v>
      </c>
      <c r="I85" t="s">
        <v>29</v>
      </c>
      <c r="K85" t="s">
        <v>30</v>
      </c>
      <c r="L85" t="s">
        <v>55</v>
      </c>
      <c r="M85">
        <v>0</v>
      </c>
      <c r="N85">
        <v>0</v>
      </c>
      <c r="O85">
        <v>75.000000009999994</v>
      </c>
      <c r="P85">
        <v>0</v>
      </c>
      <c r="Q85">
        <v>0</v>
      </c>
      <c r="R85">
        <v>75.000000009999994</v>
      </c>
      <c r="S85" t="s">
        <v>115</v>
      </c>
      <c r="T85" t="s">
        <v>58</v>
      </c>
      <c r="U85">
        <v>10000064</v>
      </c>
      <c r="Y85" t="s">
        <v>76</v>
      </c>
      <c r="AC85" t="s">
        <v>132</v>
      </c>
    </row>
    <row r="86" spans="1:29" x14ac:dyDescent="0.45">
      <c r="A86" t="s">
        <v>26</v>
      </c>
      <c r="B86">
        <v>151417029</v>
      </c>
      <c r="C86">
        <v>10001013</v>
      </c>
      <c r="D86" t="s">
        <v>27</v>
      </c>
      <c r="E86" t="s">
        <v>28</v>
      </c>
      <c r="F86">
        <v>345495</v>
      </c>
      <c r="G86">
        <v>5558107022</v>
      </c>
      <c r="H86">
        <v>23802224</v>
      </c>
      <c r="I86" t="s">
        <v>29</v>
      </c>
      <c r="K86" t="s">
        <v>30</v>
      </c>
      <c r="L86" t="s">
        <v>40</v>
      </c>
      <c r="M86">
        <v>0</v>
      </c>
      <c r="N86">
        <v>0</v>
      </c>
      <c r="O86">
        <v>75.000000009999994</v>
      </c>
      <c r="P86">
        <v>0</v>
      </c>
      <c r="Q86">
        <v>0</v>
      </c>
      <c r="R86">
        <v>75.000000009999994</v>
      </c>
      <c r="S86" t="s">
        <v>110</v>
      </c>
      <c r="T86" t="s">
        <v>58</v>
      </c>
      <c r="U86">
        <v>10001013</v>
      </c>
      <c r="Y86" t="s">
        <v>76</v>
      </c>
      <c r="AC86" t="s">
        <v>132</v>
      </c>
    </row>
    <row r="87" spans="1:29" x14ac:dyDescent="0.45">
      <c r="A87" t="s">
        <v>26</v>
      </c>
      <c r="B87">
        <v>151440346</v>
      </c>
      <c r="C87">
        <v>10000064</v>
      </c>
      <c r="D87" t="s">
        <v>27</v>
      </c>
      <c r="E87" t="s">
        <v>28</v>
      </c>
      <c r="F87">
        <v>346072</v>
      </c>
      <c r="G87">
        <v>5556452722</v>
      </c>
      <c r="H87">
        <v>24022468</v>
      </c>
      <c r="I87" t="s">
        <v>29</v>
      </c>
      <c r="K87" t="s">
        <v>30</v>
      </c>
      <c r="L87" t="s">
        <v>42</v>
      </c>
      <c r="M87">
        <v>150.00000001999999</v>
      </c>
      <c r="N87">
        <v>0</v>
      </c>
      <c r="O87">
        <v>0</v>
      </c>
      <c r="P87">
        <v>0</v>
      </c>
      <c r="Q87">
        <v>0</v>
      </c>
      <c r="R87">
        <v>150.00000001999999</v>
      </c>
      <c r="S87" t="s">
        <v>115</v>
      </c>
      <c r="T87" t="s">
        <v>38</v>
      </c>
      <c r="U87">
        <v>10000064</v>
      </c>
      <c r="Y87" t="s">
        <v>76</v>
      </c>
      <c r="AC87" t="s">
        <v>132</v>
      </c>
    </row>
    <row r="88" spans="1:29" x14ac:dyDescent="0.45">
      <c r="A88" t="s">
        <v>26</v>
      </c>
      <c r="B88">
        <v>151440349</v>
      </c>
      <c r="C88">
        <v>10001013</v>
      </c>
      <c r="D88" t="s">
        <v>27</v>
      </c>
      <c r="E88" t="s">
        <v>28</v>
      </c>
      <c r="F88">
        <v>348467</v>
      </c>
      <c r="G88">
        <v>5576022147</v>
      </c>
      <c r="H88">
        <v>24022634</v>
      </c>
      <c r="I88" t="s">
        <v>29</v>
      </c>
      <c r="K88" t="s">
        <v>30</v>
      </c>
      <c r="L88" t="s">
        <v>40</v>
      </c>
      <c r="M88">
        <v>150.00000001999999</v>
      </c>
      <c r="N88">
        <v>0</v>
      </c>
      <c r="O88">
        <v>0</v>
      </c>
      <c r="P88">
        <v>0</v>
      </c>
      <c r="Q88">
        <v>0</v>
      </c>
      <c r="R88">
        <v>150.00000001999999</v>
      </c>
      <c r="S88" t="s">
        <v>110</v>
      </c>
      <c r="T88" t="s">
        <v>38</v>
      </c>
      <c r="U88">
        <v>10001013</v>
      </c>
      <c r="Y88" t="s">
        <v>76</v>
      </c>
      <c r="AC88" t="s">
        <v>132</v>
      </c>
    </row>
    <row r="89" spans="1:29" x14ac:dyDescent="0.45">
      <c r="A89" t="s">
        <v>26</v>
      </c>
      <c r="B89">
        <v>151440354</v>
      </c>
      <c r="C89">
        <v>10000064</v>
      </c>
      <c r="D89" t="s">
        <v>27</v>
      </c>
      <c r="E89" t="s">
        <v>28</v>
      </c>
      <c r="F89">
        <v>346072</v>
      </c>
      <c r="G89">
        <v>5521567091</v>
      </c>
      <c r="H89">
        <v>24023004</v>
      </c>
      <c r="I89" t="s">
        <v>29</v>
      </c>
      <c r="K89" t="s">
        <v>30</v>
      </c>
      <c r="L89" t="s">
        <v>39</v>
      </c>
      <c r="M89">
        <v>150.00000001999999</v>
      </c>
      <c r="N89">
        <v>0</v>
      </c>
      <c r="O89">
        <v>0</v>
      </c>
      <c r="P89">
        <v>0</v>
      </c>
      <c r="Q89">
        <v>0</v>
      </c>
      <c r="R89">
        <v>150.00000001999999</v>
      </c>
      <c r="S89" t="s">
        <v>110</v>
      </c>
      <c r="T89" t="s">
        <v>38</v>
      </c>
      <c r="U89">
        <v>10000064</v>
      </c>
      <c r="Y89" t="s">
        <v>76</v>
      </c>
      <c r="AC89" t="s">
        <v>132</v>
      </c>
    </row>
    <row r="90" spans="1:29" x14ac:dyDescent="0.45">
      <c r="A90" t="s">
        <v>26</v>
      </c>
      <c r="B90">
        <v>151440766</v>
      </c>
      <c r="C90">
        <v>10000064</v>
      </c>
      <c r="D90" t="s">
        <v>27</v>
      </c>
      <c r="E90" t="s">
        <v>28</v>
      </c>
      <c r="F90">
        <v>346072</v>
      </c>
      <c r="G90">
        <v>5556760187</v>
      </c>
      <c r="H90">
        <v>24030661</v>
      </c>
      <c r="I90" t="s">
        <v>29</v>
      </c>
      <c r="K90" t="s">
        <v>30</v>
      </c>
      <c r="L90" t="s">
        <v>42</v>
      </c>
      <c r="M90">
        <v>150.00000001999999</v>
      </c>
      <c r="N90">
        <v>0</v>
      </c>
      <c r="O90">
        <v>0</v>
      </c>
      <c r="P90">
        <v>0</v>
      </c>
      <c r="Q90">
        <v>0</v>
      </c>
      <c r="R90">
        <v>150.00000001999999</v>
      </c>
      <c r="S90" t="s">
        <v>115</v>
      </c>
      <c r="T90" t="s">
        <v>38</v>
      </c>
      <c r="U90">
        <v>10000064</v>
      </c>
      <c r="Y90" t="s">
        <v>76</v>
      </c>
      <c r="AC90" t="s">
        <v>132</v>
      </c>
    </row>
    <row r="91" spans="1:29" x14ac:dyDescent="0.45">
      <c r="A91" t="s">
        <v>26</v>
      </c>
      <c r="B91">
        <v>151443758</v>
      </c>
      <c r="C91">
        <v>10000064</v>
      </c>
      <c r="D91" t="s">
        <v>27</v>
      </c>
      <c r="E91" t="s">
        <v>28</v>
      </c>
      <c r="F91">
        <v>346072</v>
      </c>
      <c r="G91">
        <v>5516757059</v>
      </c>
      <c r="H91">
        <v>24075269</v>
      </c>
      <c r="I91" t="s">
        <v>29</v>
      </c>
      <c r="K91" t="s">
        <v>30</v>
      </c>
      <c r="L91" t="s">
        <v>36</v>
      </c>
      <c r="M91">
        <v>150.00000001999999</v>
      </c>
      <c r="N91">
        <v>0</v>
      </c>
      <c r="O91">
        <v>0</v>
      </c>
      <c r="P91">
        <v>0</v>
      </c>
      <c r="Q91">
        <v>0</v>
      </c>
      <c r="R91">
        <v>150.00000001999999</v>
      </c>
      <c r="S91" t="s">
        <v>115</v>
      </c>
      <c r="T91" t="s">
        <v>38</v>
      </c>
      <c r="U91">
        <v>10000064</v>
      </c>
      <c r="Y91" t="s">
        <v>76</v>
      </c>
      <c r="AC91" t="s">
        <v>132</v>
      </c>
    </row>
    <row r="92" spans="1:29" x14ac:dyDescent="0.45">
      <c r="A92" t="s">
        <v>26</v>
      </c>
      <c r="B92">
        <v>151443794</v>
      </c>
      <c r="C92">
        <v>10000064</v>
      </c>
      <c r="D92" t="s">
        <v>27</v>
      </c>
      <c r="E92" t="s">
        <v>28</v>
      </c>
      <c r="F92">
        <v>348485</v>
      </c>
      <c r="G92">
        <v>5558106532</v>
      </c>
      <c r="H92">
        <v>24066388</v>
      </c>
      <c r="I92" t="s">
        <v>29</v>
      </c>
      <c r="K92" t="s">
        <v>30</v>
      </c>
      <c r="L92" t="s">
        <v>36</v>
      </c>
      <c r="M92">
        <v>150.00000001999999</v>
      </c>
      <c r="N92">
        <v>0</v>
      </c>
      <c r="O92">
        <v>0</v>
      </c>
      <c r="P92">
        <v>0</v>
      </c>
      <c r="Q92">
        <v>0</v>
      </c>
      <c r="R92">
        <v>150.00000001999999</v>
      </c>
      <c r="S92" t="s">
        <v>115</v>
      </c>
      <c r="T92" t="s">
        <v>38</v>
      </c>
      <c r="U92">
        <v>10000064</v>
      </c>
      <c r="Y92" t="s">
        <v>76</v>
      </c>
      <c r="AC92" t="s">
        <v>132</v>
      </c>
    </row>
    <row r="93" spans="1:29" x14ac:dyDescent="0.45">
      <c r="A93" t="s">
        <v>26</v>
      </c>
      <c r="B93">
        <v>151443822</v>
      </c>
      <c r="C93">
        <v>10001013</v>
      </c>
      <c r="D93" t="s">
        <v>27</v>
      </c>
      <c r="E93" t="s">
        <v>28</v>
      </c>
      <c r="F93">
        <v>348467</v>
      </c>
      <c r="G93">
        <v>5526504233</v>
      </c>
      <c r="H93">
        <v>24212550</v>
      </c>
      <c r="I93" t="s">
        <v>29</v>
      </c>
      <c r="K93" t="s">
        <v>30</v>
      </c>
      <c r="L93" t="s">
        <v>40</v>
      </c>
      <c r="M93">
        <v>150.00000001999999</v>
      </c>
      <c r="N93">
        <v>0</v>
      </c>
      <c r="O93">
        <v>0</v>
      </c>
      <c r="P93">
        <v>0</v>
      </c>
      <c r="Q93">
        <v>0</v>
      </c>
      <c r="R93">
        <v>150.00000001999999</v>
      </c>
      <c r="S93" t="s">
        <v>110</v>
      </c>
      <c r="T93" t="s">
        <v>38</v>
      </c>
      <c r="U93">
        <v>10001013</v>
      </c>
      <c r="Y93" t="s">
        <v>76</v>
      </c>
      <c r="AC93" t="s">
        <v>132</v>
      </c>
    </row>
    <row r="94" spans="1:29" x14ac:dyDescent="0.45">
      <c r="A94" t="s">
        <v>26</v>
      </c>
      <c r="B94">
        <v>151443918</v>
      </c>
      <c r="C94">
        <v>10001013</v>
      </c>
      <c r="D94" t="s">
        <v>27</v>
      </c>
      <c r="E94" t="s">
        <v>28</v>
      </c>
      <c r="F94">
        <v>348467</v>
      </c>
      <c r="G94">
        <v>5515592087</v>
      </c>
      <c r="H94">
        <v>24068820</v>
      </c>
      <c r="I94" t="s">
        <v>29</v>
      </c>
      <c r="K94" t="s">
        <v>30</v>
      </c>
      <c r="L94" t="s">
        <v>36</v>
      </c>
      <c r="M94">
        <v>150.00000001999999</v>
      </c>
      <c r="N94">
        <v>0</v>
      </c>
      <c r="O94">
        <v>0</v>
      </c>
      <c r="P94">
        <v>0</v>
      </c>
      <c r="Q94">
        <v>0</v>
      </c>
      <c r="R94">
        <v>150.00000001999999</v>
      </c>
      <c r="S94" t="s">
        <v>114</v>
      </c>
      <c r="T94" t="s">
        <v>38</v>
      </c>
      <c r="U94">
        <v>10001013</v>
      </c>
      <c r="Y94" t="s">
        <v>76</v>
      </c>
      <c r="AC94" t="s">
        <v>132</v>
      </c>
    </row>
    <row r="95" spans="1:29" x14ac:dyDescent="0.45">
      <c r="A95" t="s">
        <v>26</v>
      </c>
      <c r="B95">
        <v>151445871</v>
      </c>
      <c r="C95">
        <v>10001013</v>
      </c>
      <c r="D95" t="s">
        <v>27</v>
      </c>
      <c r="E95" t="s">
        <v>28</v>
      </c>
      <c r="F95">
        <v>348467</v>
      </c>
      <c r="G95">
        <v>5554259354</v>
      </c>
      <c r="H95">
        <v>24135942</v>
      </c>
      <c r="I95" t="s">
        <v>29</v>
      </c>
      <c r="K95" t="s">
        <v>30</v>
      </c>
      <c r="L95" t="s">
        <v>36</v>
      </c>
      <c r="M95">
        <v>150.00000001999999</v>
      </c>
      <c r="N95">
        <v>0</v>
      </c>
      <c r="O95">
        <v>0</v>
      </c>
      <c r="P95">
        <v>0</v>
      </c>
      <c r="Q95">
        <v>0</v>
      </c>
      <c r="R95">
        <v>150.00000001999999</v>
      </c>
      <c r="S95" t="s">
        <v>110</v>
      </c>
      <c r="T95" t="s">
        <v>38</v>
      </c>
      <c r="U95">
        <v>10001013</v>
      </c>
      <c r="Y95" t="s">
        <v>76</v>
      </c>
      <c r="AC95" t="s">
        <v>132</v>
      </c>
    </row>
    <row r="96" spans="1:29" x14ac:dyDescent="0.45">
      <c r="A96" t="s">
        <v>26</v>
      </c>
      <c r="B96">
        <v>151445934</v>
      </c>
      <c r="C96">
        <v>10000064</v>
      </c>
      <c r="D96" t="s">
        <v>27</v>
      </c>
      <c r="E96" t="s">
        <v>28</v>
      </c>
      <c r="F96">
        <v>346072</v>
      </c>
      <c r="G96">
        <v>5575731937</v>
      </c>
      <c r="H96">
        <v>24096896</v>
      </c>
      <c r="I96" t="s">
        <v>29</v>
      </c>
      <c r="K96" t="s">
        <v>30</v>
      </c>
      <c r="L96" t="s">
        <v>40</v>
      </c>
      <c r="M96">
        <v>150.00000001999999</v>
      </c>
      <c r="N96">
        <v>0</v>
      </c>
      <c r="O96">
        <v>0</v>
      </c>
      <c r="P96">
        <v>0</v>
      </c>
      <c r="Q96">
        <v>0</v>
      </c>
      <c r="R96">
        <v>150.00000001999999</v>
      </c>
      <c r="S96" t="s">
        <v>110</v>
      </c>
      <c r="T96" t="s">
        <v>38</v>
      </c>
      <c r="U96">
        <v>10000064</v>
      </c>
      <c r="Y96" t="s">
        <v>76</v>
      </c>
      <c r="AC96" t="s">
        <v>132</v>
      </c>
    </row>
    <row r="97" spans="1:29" x14ac:dyDescent="0.45">
      <c r="A97" t="s">
        <v>133</v>
      </c>
      <c r="B97">
        <v>151351958</v>
      </c>
      <c r="C97">
        <v>10000064</v>
      </c>
      <c r="D97" t="s">
        <v>27</v>
      </c>
      <c r="E97" t="s">
        <v>28</v>
      </c>
      <c r="F97">
        <v>349815</v>
      </c>
      <c r="G97">
        <v>5589086222</v>
      </c>
      <c r="H97">
        <v>22381211</v>
      </c>
      <c r="I97" t="s">
        <v>66</v>
      </c>
      <c r="K97" t="s">
        <v>30</v>
      </c>
      <c r="L97" t="s">
        <v>62</v>
      </c>
      <c r="M97">
        <v>0</v>
      </c>
      <c r="N97">
        <v>0</v>
      </c>
      <c r="O97">
        <v>75.000000009999994</v>
      </c>
      <c r="P97">
        <v>0</v>
      </c>
      <c r="Q97">
        <v>0</v>
      </c>
      <c r="R97">
        <v>75.000000009999994</v>
      </c>
      <c r="S97" t="s">
        <v>110</v>
      </c>
      <c r="T97" t="s">
        <v>58</v>
      </c>
      <c r="U97">
        <v>10000064</v>
      </c>
      <c r="Y97" t="s">
        <v>83</v>
      </c>
      <c r="AC97" t="s">
        <v>134</v>
      </c>
    </row>
    <row r="98" spans="1:29" x14ac:dyDescent="0.45">
      <c r="A98" t="s">
        <v>133</v>
      </c>
      <c r="B98">
        <v>151399114</v>
      </c>
      <c r="C98">
        <v>10000064</v>
      </c>
      <c r="D98" t="s">
        <v>27</v>
      </c>
      <c r="E98" t="s">
        <v>28</v>
      </c>
      <c r="F98">
        <v>351037</v>
      </c>
      <c r="G98">
        <v>5511137309</v>
      </c>
      <c r="H98">
        <v>22954058</v>
      </c>
      <c r="I98" t="s">
        <v>72</v>
      </c>
      <c r="K98" t="s">
        <v>30</v>
      </c>
      <c r="L98" t="s">
        <v>42</v>
      </c>
      <c r="M98">
        <v>150.00000001999999</v>
      </c>
      <c r="N98">
        <v>0</v>
      </c>
      <c r="O98">
        <v>0</v>
      </c>
      <c r="P98">
        <v>0</v>
      </c>
      <c r="Q98">
        <v>0</v>
      </c>
      <c r="R98">
        <v>150.00000001999999</v>
      </c>
      <c r="S98" t="s">
        <v>115</v>
      </c>
      <c r="T98" t="s">
        <v>38</v>
      </c>
      <c r="U98">
        <v>10000064</v>
      </c>
      <c r="Y98" t="s">
        <v>83</v>
      </c>
      <c r="AC98" t="s">
        <v>134</v>
      </c>
    </row>
    <row r="99" spans="1:29" x14ac:dyDescent="0.45">
      <c r="A99" t="s">
        <v>133</v>
      </c>
      <c r="B99">
        <v>151390991</v>
      </c>
      <c r="C99">
        <v>10000064</v>
      </c>
      <c r="D99" t="s">
        <v>27</v>
      </c>
      <c r="E99" t="s">
        <v>28</v>
      </c>
      <c r="F99">
        <v>350703</v>
      </c>
      <c r="G99">
        <v>5524603793</v>
      </c>
      <c r="H99">
        <v>22928596</v>
      </c>
      <c r="I99" t="s">
        <v>71</v>
      </c>
      <c r="K99" t="s">
        <v>30</v>
      </c>
      <c r="L99" t="s">
        <v>40</v>
      </c>
      <c r="M99">
        <v>0</v>
      </c>
      <c r="N99">
        <v>0</v>
      </c>
      <c r="O99">
        <v>75.000000009999994</v>
      </c>
      <c r="P99">
        <v>0</v>
      </c>
      <c r="Q99">
        <v>0</v>
      </c>
      <c r="R99">
        <v>75.000000009999994</v>
      </c>
      <c r="S99" t="s">
        <v>110</v>
      </c>
      <c r="T99" t="s">
        <v>58</v>
      </c>
      <c r="U99">
        <v>10000064</v>
      </c>
      <c r="Y99" t="s">
        <v>83</v>
      </c>
      <c r="AC99" t="s">
        <v>134</v>
      </c>
    </row>
    <row r="100" spans="1:29" x14ac:dyDescent="0.45">
      <c r="A100" t="s">
        <v>133</v>
      </c>
      <c r="B100">
        <v>151409781</v>
      </c>
      <c r="C100">
        <v>10000064</v>
      </c>
      <c r="D100" t="s">
        <v>27</v>
      </c>
      <c r="E100" t="s">
        <v>28</v>
      </c>
      <c r="F100">
        <v>348485</v>
      </c>
      <c r="G100">
        <v>5591808238</v>
      </c>
      <c r="H100">
        <v>23336253</v>
      </c>
      <c r="I100" t="s">
        <v>73</v>
      </c>
      <c r="K100" t="s">
        <v>30</v>
      </c>
      <c r="L100" t="s">
        <v>42</v>
      </c>
      <c r="M100">
        <v>0</v>
      </c>
      <c r="N100">
        <v>0</v>
      </c>
      <c r="O100">
        <v>75.000000009999994</v>
      </c>
      <c r="P100">
        <v>0</v>
      </c>
      <c r="Q100">
        <v>0</v>
      </c>
      <c r="R100">
        <v>75.000000009999994</v>
      </c>
      <c r="S100" t="s">
        <v>115</v>
      </c>
      <c r="T100" t="s">
        <v>58</v>
      </c>
      <c r="U100">
        <v>10000064</v>
      </c>
      <c r="Y100" t="s">
        <v>83</v>
      </c>
      <c r="AC100" t="s">
        <v>134</v>
      </c>
    </row>
    <row r="101" spans="1:29" x14ac:dyDescent="0.45">
      <c r="A101" t="s">
        <v>133</v>
      </c>
      <c r="B101">
        <v>151419967</v>
      </c>
      <c r="C101">
        <v>10000064</v>
      </c>
      <c r="D101" t="s">
        <v>27</v>
      </c>
      <c r="E101" t="s">
        <v>28</v>
      </c>
      <c r="F101">
        <v>348485</v>
      </c>
      <c r="G101">
        <v>5558416979</v>
      </c>
      <c r="H101">
        <v>23788939</v>
      </c>
      <c r="I101" t="s">
        <v>74</v>
      </c>
      <c r="K101" t="s">
        <v>30</v>
      </c>
      <c r="L101" t="s">
        <v>39</v>
      </c>
      <c r="M101">
        <v>0</v>
      </c>
      <c r="N101">
        <v>0</v>
      </c>
      <c r="O101">
        <v>75.000000009999994</v>
      </c>
      <c r="P101">
        <v>0</v>
      </c>
      <c r="Q101">
        <v>0</v>
      </c>
      <c r="R101">
        <v>75.000000009999994</v>
      </c>
      <c r="S101" t="s">
        <v>115</v>
      </c>
      <c r="T101" t="s">
        <v>58</v>
      </c>
      <c r="U101">
        <v>10000064</v>
      </c>
      <c r="Y101" t="s">
        <v>83</v>
      </c>
      <c r="AC101" t="s">
        <v>134</v>
      </c>
    </row>
    <row r="102" spans="1:29" x14ac:dyDescent="0.45">
      <c r="A102" t="s">
        <v>133</v>
      </c>
      <c r="B102">
        <v>151451990</v>
      </c>
      <c r="C102">
        <v>10001013</v>
      </c>
      <c r="D102" t="s">
        <v>27</v>
      </c>
      <c r="E102" t="s">
        <v>28</v>
      </c>
      <c r="F102">
        <v>348467</v>
      </c>
      <c r="G102">
        <v>5594643293</v>
      </c>
      <c r="H102">
        <v>24193581</v>
      </c>
      <c r="I102" t="s">
        <v>63</v>
      </c>
      <c r="K102" t="s">
        <v>30</v>
      </c>
      <c r="L102" t="s">
        <v>40</v>
      </c>
      <c r="M102">
        <v>150.00000001999999</v>
      </c>
      <c r="N102">
        <v>0</v>
      </c>
      <c r="O102">
        <v>0</v>
      </c>
      <c r="P102">
        <v>0</v>
      </c>
      <c r="Q102">
        <v>0</v>
      </c>
      <c r="R102">
        <v>150.00000001999999</v>
      </c>
      <c r="S102" t="s">
        <v>110</v>
      </c>
      <c r="T102" t="s">
        <v>38</v>
      </c>
      <c r="U102">
        <v>10001013</v>
      </c>
      <c r="Y102" t="s">
        <v>83</v>
      </c>
      <c r="AC102" t="s">
        <v>134</v>
      </c>
    </row>
    <row r="103" spans="1:29" x14ac:dyDescent="0.45">
      <c r="A103" t="s">
        <v>133</v>
      </c>
      <c r="B103">
        <v>151456274</v>
      </c>
      <c r="C103">
        <v>10000064</v>
      </c>
      <c r="D103" t="s">
        <v>27</v>
      </c>
      <c r="E103" t="s">
        <v>28</v>
      </c>
      <c r="F103">
        <v>346072</v>
      </c>
      <c r="G103">
        <v>5524665347</v>
      </c>
      <c r="H103">
        <v>24472122</v>
      </c>
      <c r="I103" t="s">
        <v>76</v>
      </c>
      <c r="K103" t="s">
        <v>30</v>
      </c>
      <c r="L103" t="s">
        <v>40</v>
      </c>
      <c r="M103">
        <v>150.00000001999999</v>
      </c>
      <c r="N103">
        <v>0</v>
      </c>
      <c r="O103">
        <v>0</v>
      </c>
      <c r="P103">
        <v>0</v>
      </c>
      <c r="Q103">
        <v>0</v>
      </c>
      <c r="R103">
        <v>150.00000001999999</v>
      </c>
      <c r="S103" t="s">
        <v>110</v>
      </c>
      <c r="T103" t="s">
        <v>38</v>
      </c>
      <c r="U103">
        <v>10000064</v>
      </c>
      <c r="Y103" t="s">
        <v>83</v>
      </c>
      <c r="AC103" t="s">
        <v>134</v>
      </c>
    </row>
    <row r="104" spans="1:29" x14ac:dyDescent="0.45">
      <c r="A104" t="s">
        <v>133</v>
      </c>
      <c r="B104">
        <v>151456294</v>
      </c>
      <c r="C104">
        <v>10001013</v>
      </c>
      <c r="D104" t="s">
        <v>27</v>
      </c>
      <c r="E104" t="s">
        <v>28</v>
      </c>
      <c r="F104">
        <v>353923</v>
      </c>
      <c r="G104">
        <v>5581647899</v>
      </c>
      <c r="H104">
        <v>24229396</v>
      </c>
      <c r="I104" t="s">
        <v>63</v>
      </c>
      <c r="K104" t="s">
        <v>30</v>
      </c>
      <c r="L104" t="s">
        <v>45</v>
      </c>
      <c r="M104">
        <v>150.00000001999999</v>
      </c>
      <c r="N104">
        <v>0</v>
      </c>
      <c r="O104">
        <v>0</v>
      </c>
      <c r="P104">
        <v>0</v>
      </c>
      <c r="Q104">
        <v>0</v>
      </c>
      <c r="R104">
        <v>150.00000001999999</v>
      </c>
      <c r="S104" t="s">
        <v>110</v>
      </c>
      <c r="T104" t="s">
        <v>38</v>
      </c>
      <c r="U104">
        <v>10001013</v>
      </c>
      <c r="Y104" t="s">
        <v>83</v>
      </c>
      <c r="AC104" t="s">
        <v>134</v>
      </c>
    </row>
    <row r="105" spans="1:29" x14ac:dyDescent="0.45">
      <c r="A105" t="s">
        <v>133</v>
      </c>
      <c r="B105">
        <v>151458298</v>
      </c>
      <c r="C105">
        <v>10000064</v>
      </c>
      <c r="D105" t="s">
        <v>27</v>
      </c>
      <c r="E105" t="s">
        <v>28</v>
      </c>
      <c r="F105">
        <v>346072</v>
      </c>
      <c r="G105">
        <v>5521579787</v>
      </c>
      <c r="H105">
        <v>24254941</v>
      </c>
      <c r="I105" t="s">
        <v>77</v>
      </c>
      <c r="K105" t="s">
        <v>30</v>
      </c>
      <c r="L105" t="s">
        <v>42</v>
      </c>
      <c r="M105">
        <v>150.00000001999999</v>
      </c>
      <c r="N105">
        <v>0</v>
      </c>
      <c r="O105">
        <v>0</v>
      </c>
      <c r="P105">
        <v>0</v>
      </c>
      <c r="Q105">
        <v>0</v>
      </c>
      <c r="R105">
        <v>150.00000001999999</v>
      </c>
      <c r="S105" t="s">
        <v>120</v>
      </c>
      <c r="T105" t="s">
        <v>38</v>
      </c>
      <c r="U105">
        <v>10000064</v>
      </c>
      <c r="Y105" t="s">
        <v>83</v>
      </c>
      <c r="AC105" t="s">
        <v>134</v>
      </c>
    </row>
    <row r="106" spans="1:29" x14ac:dyDescent="0.45">
      <c r="A106" t="s">
        <v>133</v>
      </c>
      <c r="B106">
        <v>151456324</v>
      </c>
      <c r="C106">
        <v>10000064</v>
      </c>
      <c r="D106" t="s">
        <v>27</v>
      </c>
      <c r="E106" t="s">
        <v>28</v>
      </c>
      <c r="F106">
        <v>346072</v>
      </c>
      <c r="G106">
        <v>5524665378</v>
      </c>
      <c r="H106">
        <v>24472126</v>
      </c>
      <c r="I106" t="s">
        <v>76</v>
      </c>
      <c r="K106" t="s">
        <v>30</v>
      </c>
      <c r="L106" t="s">
        <v>40</v>
      </c>
      <c r="M106">
        <v>150.00000001999999</v>
      </c>
      <c r="N106">
        <v>0</v>
      </c>
      <c r="O106">
        <v>0</v>
      </c>
      <c r="P106">
        <v>0</v>
      </c>
      <c r="Q106">
        <v>0</v>
      </c>
      <c r="R106">
        <v>150.00000001999999</v>
      </c>
      <c r="S106" t="s">
        <v>113</v>
      </c>
      <c r="T106" t="s">
        <v>38</v>
      </c>
      <c r="U106">
        <v>10000064</v>
      </c>
      <c r="Y106" t="s">
        <v>83</v>
      </c>
      <c r="AC106" t="s">
        <v>134</v>
      </c>
    </row>
    <row r="107" spans="1:29" x14ac:dyDescent="0.45">
      <c r="A107" t="s">
        <v>133</v>
      </c>
      <c r="B107">
        <v>151460687</v>
      </c>
      <c r="C107">
        <v>10000064</v>
      </c>
      <c r="D107" t="s">
        <v>27</v>
      </c>
      <c r="E107" t="s">
        <v>28</v>
      </c>
      <c r="F107">
        <v>348485</v>
      </c>
      <c r="G107">
        <v>5526505112</v>
      </c>
      <c r="H107">
        <v>24298269</v>
      </c>
      <c r="I107" t="s">
        <v>78</v>
      </c>
      <c r="K107" t="s">
        <v>30</v>
      </c>
      <c r="L107" t="s">
        <v>31</v>
      </c>
      <c r="M107">
        <v>150.00000001999999</v>
      </c>
      <c r="N107">
        <v>0</v>
      </c>
      <c r="O107">
        <v>0</v>
      </c>
      <c r="P107">
        <v>0</v>
      </c>
      <c r="Q107">
        <v>0</v>
      </c>
      <c r="R107">
        <v>150.00000001999999</v>
      </c>
      <c r="S107" t="s">
        <v>115</v>
      </c>
      <c r="T107" t="s">
        <v>38</v>
      </c>
      <c r="U107">
        <v>10000064</v>
      </c>
      <c r="Y107" t="s">
        <v>83</v>
      </c>
      <c r="AC107" t="s">
        <v>134</v>
      </c>
    </row>
    <row r="108" spans="1:29" x14ac:dyDescent="0.45">
      <c r="A108" t="s">
        <v>133</v>
      </c>
      <c r="B108">
        <v>151460739</v>
      </c>
      <c r="C108">
        <v>10000064</v>
      </c>
      <c r="D108" t="s">
        <v>27</v>
      </c>
      <c r="E108" t="s">
        <v>28</v>
      </c>
      <c r="F108">
        <v>346072</v>
      </c>
      <c r="G108">
        <v>5527910658</v>
      </c>
      <c r="H108">
        <v>24472161</v>
      </c>
      <c r="I108" t="s">
        <v>76</v>
      </c>
      <c r="K108" t="s">
        <v>30</v>
      </c>
      <c r="L108" t="s">
        <v>47</v>
      </c>
      <c r="M108">
        <v>150.00000001999999</v>
      </c>
      <c r="N108">
        <v>0</v>
      </c>
      <c r="O108">
        <v>0</v>
      </c>
      <c r="P108">
        <v>0</v>
      </c>
      <c r="Q108">
        <v>0</v>
      </c>
      <c r="R108">
        <v>150.00000001999999</v>
      </c>
      <c r="S108" t="s">
        <v>113</v>
      </c>
      <c r="T108" t="s">
        <v>38</v>
      </c>
      <c r="U108">
        <v>10000064</v>
      </c>
      <c r="Y108" t="s">
        <v>83</v>
      </c>
      <c r="AC108" t="s">
        <v>134</v>
      </c>
    </row>
    <row r="109" spans="1:29" x14ac:dyDescent="0.45">
      <c r="A109" t="s">
        <v>133</v>
      </c>
      <c r="B109">
        <v>151460750</v>
      </c>
      <c r="C109">
        <v>10001013</v>
      </c>
      <c r="D109" t="s">
        <v>27</v>
      </c>
      <c r="E109" t="s">
        <v>28</v>
      </c>
      <c r="F109">
        <v>348467</v>
      </c>
      <c r="G109">
        <v>5556535203</v>
      </c>
      <c r="H109">
        <v>24292780</v>
      </c>
      <c r="I109" t="s">
        <v>75</v>
      </c>
      <c r="K109" t="s">
        <v>30</v>
      </c>
      <c r="L109" t="s">
        <v>42</v>
      </c>
      <c r="M109">
        <v>150.00000001999999</v>
      </c>
      <c r="N109">
        <v>0</v>
      </c>
      <c r="O109">
        <v>0</v>
      </c>
      <c r="P109">
        <v>0</v>
      </c>
      <c r="Q109">
        <v>0</v>
      </c>
      <c r="R109">
        <v>150.00000001999999</v>
      </c>
      <c r="S109" t="s">
        <v>115</v>
      </c>
      <c r="T109" t="s">
        <v>38</v>
      </c>
      <c r="U109">
        <v>10001013</v>
      </c>
      <c r="Y109" t="s">
        <v>83</v>
      </c>
      <c r="AC109" t="s">
        <v>134</v>
      </c>
    </row>
    <row r="110" spans="1:29" x14ac:dyDescent="0.45">
      <c r="A110" t="s">
        <v>133</v>
      </c>
      <c r="B110">
        <v>151462935</v>
      </c>
      <c r="C110">
        <v>10001013</v>
      </c>
      <c r="D110" t="s">
        <v>27</v>
      </c>
      <c r="E110" t="s">
        <v>28</v>
      </c>
      <c r="F110">
        <v>353923</v>
      </c>
      <c r="G110">
        <v>5556955318</v>
      </c>
      <c r="H110">
        <v>24337685</v>
      </c>
      <c r="I110" t="s">
        <v>77</v>
      </c>
      <c r="K110" t="s">
        <v>30</v>
      </c>
      <c r="L110" t="s">
        <v>39</v>
      </c>
      <c r="M110">
        <v>150.00000001999999</v>
      </c>
      <c r="N110">
        <v>0</v>
      </c>
      <c r="O110">
        <v>0</v>
      </c>
      <c r="P110">
        <v>0</v>
      </c>
      <c r="Q110">
        <v>0</v>
      </c>
      <c r="R110">
        <v>150.00000001999999</v>
      </c>
      <c r="S110" t="s">
        <v>121</v>
      </c>
      <c r="T110" t="s">
        <v>38</v>
      </c>
      <c r="U110">
        <v>10001013</v>
      </c>
      <c r="Y110" t="s">
        <v>83</v>
      </c>
      <c r="AC110" t="s">
        <v>134</v>
      </c>
    </row>
    <row r="111" spans="1:29" x14ac:dyDescent="0.45">
      <c r="A111" t="s">
        <v>133</v>
      </c>
      <c r="B111">
        <v>151462960</v>
      </c>
      <c r="C111">
        <v>10001013</v>
      </c>
      <c r="D111" t="s">
        <v>27</v>
      </c>
      <c r="E111" t="s">
        <v>28</v>
      </c>
      <c r="F111">
        <v>353923</v>
      </c>
      <c r="G111">
        <v>5596432717</v>
      </c>
      <c r="H111">
        <v>24343153</v>
      </c>
      <c r="I111" t="s">
        <v>75</v>
      </c>
      <c r="K111" t="s">
        <v>30</v>
      </c>
      <c r="L111" t="s">
        <v>47</v>
      </c>
      <c r="M111">
        <v>150.00000001999999</v>
      </c>
      <c r="N111">
        <v>0</v>
      </c>
      <c r="O111">
        <v>0</v>
      </c>
      <c r="P111">
        <v>0</v>
      </c>
      <c r="Q111">
        <v>0</v>
      </c>
      <c r="R111">
        <v>150.00000001999999</v>
      </c>
      <c r="S111" t="s">
        <v>110</v>
      </c>
      <c r="T111" t="s">
        <v>38</v>
      </c>
      <c r="U111">
        <v>10001013</v>
      </c>
      <c r="Y111" t="s">
        <v>83</v>
      </c>
      <c r="AC111" t="s">
        <v>134</v>
      </c>
    </row>
    <row r="112" spans="1:29" x14ac:dyDescent="0.45">
      <c r="A112" t="s">
        <v>26</v>
      </c>
      <c r="B112">
        <v>151440807</v>
      </c>
      <c r="C112">
        <v>10000064</v>
      </c>
      <c r="D112" t="s">
        <v>27</v>
      </c>
      <c r="E112" t="s">
        <v>28</v>
      </c>
      <c r="F112">
        <v>348485</v>
      </c>
      <c r="G112">
        <v>5521571022</v>
      </c>
      <c r="H112">
        <v>24030778</v>
      </c>
      <c r="I112" t="s">
        <v>80</v>
      </c>
      <c r="K112" t="s">
        <v>30</v>
      </c>
      <c r="L112" t="s">
        <v>42</v>
      </c>
      <c r="M112">
        <v>0</v>
      </c>
      <c r="N112">
        <v>0</v>
      </c>
      <c r="O112">
        <v>75.000000009999994</v>
      </c>
      <c r="P112">
        <v>0</v>
      </c>
      <c r="Q112">
        <v>0</v>
      </c>
      <c r="R112">
        <v>75.000000009999994</v>
      </c>
      <c r="S112" t="s">
        <v>115</v>
      </c>
      <c r="T112" t="s">
        <v>58</v>
      </c>
      <c r="U112">
        <v>10000064</v>
      </c>
      <c r="Y112" t="s">
        <v>135</v>
      </c>
      <c r="AC112" t="s">
        <v>136</v>
      </c>
    </row>
    <row r="113" spans="1:29" x14ac:dyDescent="0.45">
      <c r="A113" t="s">
        <v>26</v>
      </c>
      <c r="B113">
        <v>151467648</v>
      </c>
      <c r="C113">
        <v>10001013</v>
      </c>
      <c r="D113" t="s">
        <v>27</v>
      </c>
      <c r="E113" t="s">
        <v>28</v>
      </c>
      <c r="F113">
        <v>353923</v>
      </c>
      <c r="G113">
        <v>5552737294</v>
      </c>
      <c r="H113">
        <v>24493680</v>
      </c>
      <c r="I113" t="s">
        <v>93</v>
      </c>
      <c r="K113" t="s">
        <v>30</v>
      </c>
      <c r="L113" t="s">
        <v>40</v>
      </c>
      <c r="M113">
        <v>150.00000001999999</v>
      </c>
      <c r="N113">
        <v>0</v>
      </c>
      <c r="O113">
        <v>0</v>
      </c>
      <c r="P113">
        <v>0</v>
      </c>
      <c r="Q113">
        <v>0</v>
      </c>
      <c r="R113">
        <v>150.00000001999999</v>
      </c>
      <c r="S113" t="s">
        <v>110</v>
      </c>
      <c r="T113" t="s">
        <v>38</v>
      </c>
      <c r="U113">
        <v>10001013</v>
      </c>
      <c r="Y113" t="s">
        <v>135</v>
      </c>
      <c r="AC113" t="s">
        <v>136</v>
      </c>
    </row>
    <row r="114" spans="1:29" x14ac:dyDescent="0.45">
      <c r="A114" t="s">
        <v>26</v>
      </c>
      <c r="B114">
        <v>151465956</v>
      </c>
      <c r="C114">
        <v>10001013</v>
      </c>
      <c r="D114" t="s">
        <v>27</v>
      </c>
      <c r="E114" t="s">
        <v>28</v>
      </c>
      <c r="F114">
        <v>353923</v>
      </c>
      <c r="G114">
        <v>5552738346</v>
      </c>
      <c r="H114">
        <v>24542164</v>
      </c>
      <c r="I114" t="s">
        <v>95</v>
      </c>
      <c r="K114" t="s">
        <v>30</v>
      </c>
      <c r="L114" t="s">
        <v>40</v>
      </c>
      <c r="M114">
        <v>150.00000001999999</v>
      </c>
      <c r="N114">
        <v>0</v>
      </c>
      <c r="O114">
        <v>0</v>
      </c>
      <c r="P114">
        <v>0</v>
      </c>
      <c r="Q114">
        <v>0</v>
      </c>
      <c r="R114">
        <v>150.00000001999999</v>
      </c>
      <c r="S114" t="s">
        <v>110</v>
      </c>
      <c r="T114" t="s">
        <v>38</v>
      </c>
      <c r="U114">
        <v>10001013</v>
      </c>
      <c r="Y114" t="s">
        <v>135</v>
      </c>
      <c r="AC114" t="s">
        <v>136</v>
      </c>
    </row>
    <row r="115" spans="1:29" x14ac:dyDescent="0.45">
      <c r="A115" t="s">
        <v>26</v>
      </c>
      <c r="B115">
        <v>151465766</v>
      </c>
      <c r="C115">
        <v>10000064</v>
      </c>
      <c r="D115" t="s">
        <v>27</v>
      </c>
      <c r="E115" t="s">
        <v>28</v>
      </c>
      <c r="F115">
        <v>346072</v>
      </c>
      <c r="G115">
        <v>5552738001</v>
      </c>
      <c r="H115">
        <v>24494036</v>
      </c>
      <c r="I115" t="s">
        <v>93</v>
      </c>
      <c r="K115" t="s">
        <v>30</v>
      </c>
      <c r="L115" t="s">
        <v>40</v>
      </c>
      <c r="M115">
        <v>150.00000001999999</v>
      </c>
      <c r="N115">
        <v>0</v>
      </c>
      <c r="O115">
        <v>0</v>
      </c>
      <c r="P115">
        <v>0</v>
      </c>
      <c r="Q115">
        <v>0</v>
      </c>
      <c r="R115">
        <v>150.00000001999999</v>
      </c>
      <c r="S115" t="s">
        <v>110</v>
      </c>
      <c r="T115" t="s">
        <v>38</v>
      </c>
      <c r="U115">
        <v>10000064</v>
      </c>
      <c r="Y115" t="s">
        <v>135</v>
      </c>
      <c r="AC115" t="s">
        <v>136</v>
      </c>
    </row>
    <row r="116" spans="1:29" x14ac:dyDescent="0.45">
      <c r="A116" t="s">
        <v>26</v>
      </c>
      <c r="B116">
        <v>151465310</v>
      </c>
      <c r="C116">
        <v>10000064</v>
      </c>
      <c r="D116" t="s">
        <v>27</v>
      </c>
      <c r="E116" t="s">
        <v>28</v>
      </c>
      <c r="F116">
        <v>346072</v>
      </c>
      <c r="G116">
        <v>5557727376</v>
      </c>
      <c r="H116">
        <v>24498715</v>
      </c>
      <c r="I116" t="s">
        <v>93</v>
      </c>
      <c r="K116" t="s">
        <v>30</v>
      </c>
      <c r="L116" t="s">
        <v>40</v>
      </c>
      <c r="M116">
        <v>150.00000001999999</v>
      </c>
      <c r="N116">
        <v>0</v>
      </c>
      <c r="O116">
        <v>0</v>
      </c>
      <c r="P116">
        <v>0</v>
      </c>
      <c r="Q116">
        <v>0</v>
      </c>
      <c r="R116">
        <v>150.00000001999999</v>
      </c>
      <c r="S116" t="s">
        <v>110</v>
      </c>
      <c r="T116" t="s">
        <v>38</v>
      </c>
      <c r="U116">
        <v>10000064</v>
      </c>
      <c r="Y116" t="s">
        <v>135</v>
      </c>
      <c r="AC116" t="s">
        <v>136</v>
      </c>
    </row>
    <row r="117" spans="1:29" x14ac:dyDescent="0.45">
      <c r="A117" t="s">
        <v>26</v>
      </c>
      <c r="B117">
        <v>151462818</v>
      </c>
      <c r="C117">
        <v>10000064</v>
      </c>
      <c r="D117" t="s">
        <v>27</v>
      </c>
      <c r="E117" t="s">
        <v>28</v>
      </c>
      <c r="F117">
        <v>348485</v>
      </c>
      <c r="G117">
        <v>5555485974</v>
      </c>
      <c r="H117">
        <v>24338358</v>
      </c>
      <c r="I117" t="s">
        <v>93</v>
      </c>
      <c r="K117" t="s">
        <v>30</v>
      </c>
      <c r="L117" t="s">
        <v>42</v>
      </c>
      <c r="M117">
        <v>150.00000001999999</v>
      </c>
      <c r="N117">
        <v>0</v>
      </c>
      <c r="O117">
        <v>0</v>
      </c>
      <c r="P117">
        <v>0</v>
      </c>
      <c r="Q117">
        <v>0</v>
      </c>
      <c r="R117">
        <v>150.00000001999999</v>
      </c>
      <c r="S117" t="s">
        <v>110</v>
      </c>
      <c r="T117" t="s">
        <v>38</v>
      </c>
      <c r="U117">
        <v>10000064</v>
      </c>
      <c r="Y117" t="s">
        <v>135</v>
      </c>
      <c r="AC117" t="s">
        <v>136</v>
      </c>
    </row>
    <row r="118" spans="1:29" x14ac:dyDescent="0.45">
      <c r="A118" t="s">
        <v>26</v>
      </c>
      <c r="B118">
        <v>151462743</v>
      </c>
      <c r="C118">
        <v>10000064</v>
      </c>
      <c r="D118" t="s">
        <v>27</v>
      </c>
      <c r="E118" t="s">
        <v>28</v>
      </c>
      <c r="F118">
        <v>346072</v>
      </c>
      <c r="G118">
        <v>5570346045</v>
      </c>
      <c r="H118">
        <v>24343482</v>
      </c>
      <c r="I118" t="s">
        <v>95</v>
      </c>
      <c r="K118" t="s">
        <v>30</v>
      </c>
      <c r="L118" t="s">
        <v>40</v>
      </c>
      <c r="M118">
        <v>150.00000001999999</v>
      </c>
      <c r="N118">
        <v>0</v>
      </c>
      <c r="O118">
        <v>0</v>
      </c>
      <c r="P118">
        <v>0</v>
      </c>
      <c r="Q118">
        <v>0</v>
      </c>
      <c r="R118">
        <v>150.00000001999999</v>
      </c>
      <c r="S118" t="s">
        <v>113</v>
      </c>
      <c r="T118" t="s">
        <v>38</v>
      </c>
      <c r="U118">
        <v>10000064</v>
      </c>
      <c r="Y118" t="s">
        <v>135</v>
      </c>
      <c r="AC118" t="s">
        <v>136</v>
      </c>
    </row>
    <row r="119" spans="1:29" x14ac:dyDescent="0.45">
      <c r="A119" t="s">
        <v>26</v>
      </c>
      <c r="B119">
        <v>151462717</v>
      </c>
      <c r="C119">
        <v>10000064</v>
      </c>
      <c r="D119" t="s">
        <v>27</v>
      </c>
      <c r="E119" t="s">
        <v>28</v>
      </c>
      <c r="F119">
        <v>346072</v>
      </c>
      <c r="G119">
        <v>5517134436</v>
      </c>
      <c r="H119">
        <v>24498639</v>
      </c>
      <c r="I119" t="s">
        <v>93</v>
      </c>
      <c r="K119" t="s">
        <v>30</v>
      </c>
      <c r="L119" t="s">
        <v>40</v>
      </c>
      <c r="M119">
        <v>150.00000001999999</v>
      </c>
      <c r="N119">
        <v>0</v>
      </c>
      <c r="O119">
        <v>0</v>
      </c>
      <c r="P119">
        <v>0</v>
      </c>
      <c r="Q119">
        <v>0</v>
      </c>
      <c r="R119">
        <v>150.00000001999999</v>
      </c>
      <c r="S119" t="s">
        <v>110</v>
      </c>
      <c r="T119" t="s">
        <v>38</v>
      </c>
      <c r="U119">
        <v>10000064</v>
      </c>
      <c r="Y119" t="s">
        <v>135</v>
      </c>
      <c r="AC119" t="s">
        <v>136</v>
      </c>
    </row>
    <row r="120" spans="1:29" x14ac:dyDescent="0.45">
      <c r="A120" t="s">
        <v>26</v>
      </c>
      <c r="B120">
        <v>151460807</v>
      </c>
      <c r="C120">
        <v>10000064</v>
      </c>
      <c r="D120" t="s">
        <v>27</v>
      </c>
      <c r="E120" t="s">
        <v>28</v>
      </c>
      <c r="F120">
        <v>346072</v>
      </c>
      <c r="G120">
        <v>5557034023</v>
      </c>
      <c r="H120">
        <v>24521664</v>
      </c>
      <c r="I120" t="s">
        <v>94</v>
      </c>
      <c r="K120" t="s">
        <v>30</v>
      </c>
      <c r="L120" t="s">
        <v>40</v>
      </c>
      <c r="M120">
        <v>150.00000001999999</v>
      </c>
      <c r="N120">
        <v>0</v>
      </c>
      <c r="O120">
        <v>0</v>
      </c>
      <c r="P120">
        <v>0</v>
      </c>
      <c r="Q120">
        <v>0</v>
      </c>
      <c r="R120">
        <v>150.00000001999999</v>
      </c>
      <c r="S120" t="s">
        <v>110</v>
      </c>
      <c r="T120" t="s">
        <v>38</v>
      </c>
      <c r="U120">
        <v>10000064</v>
      </c>
      <c r="Y120" t="s">
        <v>135</v>
      </c>
      <c r="AC120" t="s">
        <v>136</v>
      </c>
    </row>
    <row r="121" spans="1:29" x14ac:dyDescent="0.45">
      <c r="A121" t="s">
        <v>26</v>
      </c>
      <c r="B121">
        <v>151460691</v>
      </c>
      <c r="C121">
        <v>10000064</v>
      </c>
      <c r="D121" t="s">
        <v>27</v>
      </c>
      <c r="E121" t="s">
        <v>28</v>
      </c>
      <c r="F121">
        <v>346072</v>
      </c>
      <c r="G121">
        <v>5595011101</v>
      </c>
      <c r="H121">
        <v>24300518</v>
      </c>
      <c r="I121" t="s">
        <v>93</v>
      </c>
      <c r="K121" t="s">
        <v>30</v>
      </c>
      <c r="L121" t="s">
        <v>40</v>
      </c>
      <c r="M121">
        <v>150.00000001999999</v>
      </c>
      <c r="N121">
        <v>0</v>
      </c>
      <c r="O121">
        <v>0</v>
      </c>
      <c r="P121">
        <v>0</v>
      </c>
      <c r="Q121">
        <v>0</v>
      </c>
      <c r="R121">
        <v>150.00000001999999</v>
      </c>
      <c r="S121" t="s">
        <v>110</v>
      </c>
      <c r="T121" t="s">
        <v>38</v>
      </c>
      <c r="U121">
        <v>10000064</v>
      </c>
      <c r="Y121" t="s">
        <v>135</v>
      </c>
      <c r="AC121" t="s">
        <v>136</v>
      </c>
    </row>
    <row r="122" spans="1:29" x14ac:dyDescent="0.45">
      <c r="A122" t="s">
        <v>26</v>
      </c>
      <c r="B122">
        <v>151460687</v>
      </c>
      <c r="C122">
        <v>10000064</v>
      </c>
      <c r="D122" t="s">
        <v>27</v>
      </c>
      <c r="E122" t="s">
        <v>28</v>
      </c>
      <c r="F122">
        <v>348485</v>
      </c>
      <c r="G122">
        <v>5526505112</v>
      </c>
      <c r="H122">
        <v>24298269</v>
      </c>
      <c r="I122" t="s">
        <v>78</v>
      </c>
      <c r="K122" t="s">
        <v>30</v>
      </c>
      <c r="L122" t="s">
        <v>31</v>
      </c>
      <c r="M122">
        <v>0</v>
      </c>
      <c r="N122">
        <v>0</v>
      </c>
      <c r="O122">
        <v>75.000000009999994</v>
      </c>
      <c r="P122">
        <v>0</v>
      </c>
      <c r="Q122">
        <v>0</v>
      </c>
      <c r="R122">
        <v>75.000000009999994</v>
      </c>
      <c r="S122" t="s">
        <v>115</v>
      </c>
      <c r="T122" t="s">
        <v>58</v>
      </c>
      <c r="U122">
        <v>10000064</v>
      </c>
      <c r="Y122" t="s">
        <v>135</v>
      </c>
      <c r="AC122" t="s">
        <v>136</v>
      </c>
    </row>
    <row r="123" spans="1:29" x14ac:dyDescent="0.45">
      <c r="A123" t="s">
        <v>26</v>
      </c>
      <c r="B123">
        <v>5726560</v>
      </c>
      <c r="C123">
        <v>10000064</v>
      </c>
      <c r="D123" t="s">
        <v>27</v>
      </c>
      <c r="E123" t="s">
        <v>28</v>
      </c>
      <c r="F123">
        <v>346072</v>
      </c>
      <c r="G123">
        <v>6646463041</v>
      </c>
      <c r="H123">
        <v>31414235</v>
      </c>
      <c r="I123" t="s">
        <v>83</v>
      </c>
      <c r="K123" t="s">
        <v>84</v>
      </c>
      <c r="L123" t="s">
        <v>85</v>
      </c>
      <c r="M123">
        <v>150.00000001999999</v>
      </c>
      <c r="N123">
        <v>0</v>
      </c>
      <c r="O123">
        <v>0</v>
      </c>
      <c r="P123">
        <v>0</v>
      </c>
      <c r="Q123">
        <v>0</v>
      </c>
      <c r="R123">
        <v>150.00000001999999</v>
      </c>
      <c r="S123" t="s">
        <v>110</v>
      </c>
      <c r="T123" t="s">
        <v>38</v>
      </c>
      <c r="U123">
        <v>10000064</v>
      </c>
      <c r="Y123" t="s">
        <v>135</v>
      </c>
      <c r="AC123" t="s">
        <v>136</v>
      </c>
    </row>
    <row r="124" spans="1:29" x14ac:dyDescent="0.45">
      <c r="A124" t="s">
        <v>26</v>
      </c>
      <c r="B124">
        <v>151438772</v>
      </c>
      <c r="C124">
        <v>10001013</v>
      </c>
      <c r="D124" t="s">
        <v>27</v>
      </c>
      <c r="E124" t="s">
        <v>28</v>
      </c>
      <c r="F124">
        <v>348467</v>
      </c>
      <c r="G124">
        <v>5511049544</v>
      </c>
      <c r="H124">
        <v>24059074</v>
      </c>
      <c r="I124" t="s">
        <v>80</v>
      </c>
      <c r="K124" t="s">
        <v>30</v>
      </c>
      <c r="L124" t="s">
        <v>40</v>
      </c>
      <c r="M124">
        <v>0</v>
      </c>
      <c r="N124">
        <v>0</v>
      </c>
      <c r="O124">
        <v>75.000000009999994</v>
      </c>
      <c r="P124">
        <v>0</v>
      </c>
      <c r="Q124">
        <v>0</v>
      </c>
      <c r="R124">
        <v>75.000000009999994</v>
      </c>
      <c r="S124" t="s">
        <v>110</v>
      </c>
      <c r="T124" t="s">
        <v>58</v>
      </c>
      <c r="U124">
        <v>10001013</v>
      </c>
      <c r="Y124" t="s">
        <v>135</v>
      </c>
      <c r="AC124" t="s">
        <v>136</v>
      </c>
    </row>
    <row r="125" spans="1:29" x14ac:dyDescent="0.45">
      <c r="A125" t="s">
        <v>26</v>
      </c>
      <c r="B125">
        <v>151437536</v>
      </c>
      <c r="C125">
        <v>10000064</v>
      </c>
      <c r="D125" t="s">
        <v>27</v>
      </c>
      <c r="E125" t="s">
        <v>28</v>
      </c>
      <c r="F125">
        <v>348485</v>
      </c>
      <c r="G125">
        <v>5516734333</v>
      </c>
      <c r="H125">
        <v>23999326</v>
      </c>
      <c r="I125" t="s">
        <v>92</v>
      </c>
      <c r="K125" t="s">
        <v>30</v>
      </c>
      <c r="L125" t="s">
        <v>36</v>
      </c>
      <c r="M125">
        <v>0</v>
      </c>
      <c r="N125">
        <v>0</v>
      </c>
      <c r="O125">
        <v>75.000000009999994</v>
      </c>
      <c r="P125">
        <v>0</v>
      </c>
      <c r="Q125">
        <v>0</v>
      </c>
      <c r="R125">
        <v>75.000000009999994</v>
      </c>
      <c r="S125" t="s">
        <v>114</v>
      </c>
      <c r="T125" t="s">
        <v>58</v>
      </c>
      <c r="U125">
        <v>10000064</v>
      </c>
      <c r="Y125" t="s">
        <v>135</v>
      </c>
      <c r="AC125" t="s">
        <v>136</v>
      </c>
    </row>
    <row r="126" spans="1:29" x14ac:dyDescent="0.45">
      <c r="A126" t="s">
        <v>26</v>
      </c>
      <c r="B126">
        <v>151432596</v>
      </c>
      <c r="C126">
        <v>10000064</v>
      </c>
      <c r="D126" t="s">
        <v>27</v>
      </c>
      <c r="E126" t="s">
        <v>28</v>
      </c>
      <c r="F126">
        <v>346072</v>
      </c>
      <c r="G126">
        <v>5529243850</v>
      </c>
      <c r="H126">
        <v>23953054</v>
      </c>
      <c r="I126" t="s">
        <v>91</v>
      </c>
      <c r="K126" t="s">
        <v>30</v>
      </c>
      <c r="L126" t="s">
        <v>39</v>
      </c>
      <c r="M126">
        <v>0</v>
      </c>
      <c r="N126">
        <v>0</v>
      </c>
      <c r="O126">
        <v>75.000000009999994</v>
      </c>
      <c r="P126">
        <v>0</v>
      </c>
      <c r="Q126">
        <v>0</v>
      </c>
      <c r="R126">
        <v>75.000000009999994</v>
      </c>
      <c r="S126" t="s">
        <v>110</v>
      </c>
      <c r="T126" t="s">
        <v>58</v>
      </c>
      <c r="U126">
        <v>10000064</v>
      </c>
      <c r="Y126" t="s">
        <v>135</v>
      </c>
      <c r="AC126" t="s">
        <v>136</v>
      </c>
    </row>
    <row r="127" spans="1:29" x14ac:dyDescent="0.45">
      <c r="A127" t="s">
        <v>26</v>
      </c>
      <c r="B127">
        <v>151428315</v>
      </c>
      <c r="C127">
        <v>10001013</v>
      </c>
      <c r="D127" t="s">
        <v>27</v>
      </c>
      <c r="E127" t="s">
        <v>28</v>
      </c>
      <c r="F127">
        <v>345495</v>
      </c>
      <c r="G127">
        <v>5575829858</v>
      </c>
      <c r="H127">
        <v>23871005</v>
      </c>
      <c r="I127" t="s">
        <v>90</v>
      </c>
      <c r="K127" t="s">
        <v>30</v>
      </c>
      <c r="L127" t="s">
        <v>40</v>
      </c>
      <c r="M127">
        <v>0</v>
      </c>
      <c r="N127">
        <v>0</v>
      </c>
      <c r="O127">
        <v>75.000000009999994</v>
      </c>
      <c r="P127">
        <v>0</v>
      </c>
      <c r="Q127">
        <v>0</v>
      </c>
      <c r="R127">
        <v>75.000000009999994</v>
      </c>
      <c r="S127" t="s">
        <v>110</v>
      </c>
      <c r="T127" t="s">
        <v>58</v>
      </c>
      <c r="U127">
        <v>10001013</v>
      </c>
      <c r="Y127" t="s">
        <v>135</v>
      </c>
      <c r="AC127" t="s">
        <v>136</v>
      </c>
    </row>
    <row r="128" spans="1:29" x14ac:dyDescent="0.45">
      <c r="A128" t="s">
        <v>26</v>
      </c>
      <c r="B128">
        <v>151413164</v>
      </c>
      <c r="C128">
        <v>10000064</v>
      </c>
      <c r="D128" t="s">
        <v>27</v>
      </c>
      <c r="E128" t="s">
        <v>28</v>
      </c>
      <c r="F128">
        <v>352529</v>
      </c>
      <c r="G128">
        <v>5595608513</v>
      </c>
      <c r="H128">
        <v>23437284</v>
      </c>
      <c r="I128" t="s">
        <v>89</v>
      </c>
      <c r="K128" t="s">
        <v>30</v>
      </c>
      <c r="L128" t="s">
        <v>40</v>
      </c>
      <c r="M128">
        <v>0</v>
      </c>
      <c r="N128">
        <v>0</v>
      </c>
      <c r="O128">
        <v>75.000000009999994</v>
      </c>
      <c r="P128">
        <v>0</v>
      </c>
      <c r="Q128">
        <v>0</v>
      </c>
      <c r="R128">
        <v>75.000000009999994</v>
      </c>
      <c r="S128" t="s">
        <v>118</v>
      </c>
      <c r="T128" t="s">
        <v>58</v>
      </c>
      <c r="U128">
        <v>10000064</v>
      </c>
      <c r="Y128" t="s">
        <v>135</v>
      </c>
      <c r="AC128" t="s">
        <v>136</v>
      </c>
    </row>
    <row r="129" spans="1:29" x14ac:dyDescent="0.45">
      <c r="A129" t="s">
        <v>26</v>
      </c>
      <c r="B129">
        <v>151409762</v>
      </c>
      <c r="C129">
        <v>10001013</v>
      </c>
      <c r="D129" t="s">
        <v>27</v>
      </c>
      <c r="E129" t="s">
        <v>28</v>
      </c>
      <c r="F129">
        <v>351030</v>
      </c>
      <c r="G129">
        <v>5552445074</v>
      </c>
      <c r="H129">
        <v>23378822</v>
      </c>
      <c r="I129" t="s">
        <v>73</v>
      </c>
      <c r="K129" t="s">
        <v>30</v>
      </c>
      <c r="L129" t="s">
        <v>55</v>
      </c>
      <c r="M129">
        <v>0</v>
      </c>
      <c r="N129">
        <v>0</v>
      </c>
      <c r="O129">
        <v>75.000000009999994</v>
      </c>
      <c r="P129">
        <v>0</v>
      </c>
      <c r="Q129">
        <v>0</v>
      </c>
      <c r="R129">
        <v>75.000000009999994</v>
      </c>
      <c r="S129" t="s">
        <v>110</v>
      </c>
      <c r="T129" t="s">
        <v>58</v>
      </c>
      <c r="U129">
        <v>10001013</v>
      </c>
      <c r="Y129" t="s">
        <v>135</v>
      </c>
      <c r="AC129" t="s">
        <v>136</v>
      </c>
    </row>
    <row r="130" spans="1:29" x14ac:dyDescent="0.45">
      <c r="A130" t="s">
        <v>26</v>
      </c>
      <c r="B130">
        <v>151396936</v>
      </c>
      <c r="C130">
        <v>10000064</v>
      </c>
      <c r="D130" t="s">
        <v>27</v>
      </c>
      <c r="E130" t="s">
        <v>28</v>
      </c>
      <c r="F130">
        <v>350703</v>
      </c>
      <c r="G130">
        <v>5521559507</v>
      </c>
      <c r="H130">
        <v>22929376</v>
      </c>
      <c r="I130" t="s">
        <v>71</v>
      </c>
      <c r="K130" t="s">
        <v>30</v>
      </c>
      <c r="L130" t="s">
        <v>42</v>
      </c>
      <c r="M130">
        <v>0</v>
      </c>
      <c r="N130">
        <v>0</v>
      </c>
      <c r="O130">
        <v>75.000000009999994</v>
      </c>
      <c r="P130">
        <v>0</v>
      </c>
      <c r="Q130">
        <v>0</v>
      </c>
      <c r="R130">
        <v>75.000000009999994</v>
      </c>
      <c r="S130" t="s">
        <v>117</v>
      </c>
      <c r="T130" t="s">
        <v>58</v>
      </c>
      <c r="U130">
        <v>10000064</v>
      </c>
      <c r="Y130" t="s">
        <v>135</v>
      </c>
      <c r="AC130" t="s">
        <v>136</v>
      </c>
    </row>
    <row r="131" spans="1:29" x14ac:dyDescent="0.45">
      <c r="A131" t="s">
        <v>26</v>
      </c>
      <c r="B131">
        <v>151344986</v>
      </c>
      <c r="C131">
        <v>10000064</v>
      </c>
      <c r="D131" t="s">
        <v>27</v>
      </c>
      <c r="E131" t="s">
        <v>28</v>
      </c>
      <c r="F131">
        <v>346126</v>
      </c>
      <c r="G131">
        <v>5591347168</v>
      </c>
      <c r="H131">
        <v>22297238</v>
      </c>
      <c r="I131" t="s">
        <v>87</v>
      </c>
      <c r="K131" t="s">
        <v>30</v>
      </c>
      <c r="L131" t="s">
        <v>39</v>
      </c>
      <c r="M131">
        <v>0</v>
      </c>
      <c r="N131">
        <v>0</v>
      </c>
      <c r="O131">
        <v>75.000000009999994</v>
      </c>
      <c r="P131">
        <v>0</v>
      </c>
      <c r="Q131">
        <v>0</v>
      </c>
      <c r="R131">
        <v>75.000000009999994</v>
      </c>
      <c r="S131" t="s">
        <v>110</v>
      </c>
      <c r="T131" t="s">
        <v>58</v>
      </c>
      <c r="U131">
        <v>10000064</v>
      </c>
      <c r="Y131" t="s">
        <v>135</v>
      </c>
      <c r="AC131" t="s">
        <v>136</v>
      </c>
    </row>
    <row r="132" spans="1:29" x14ac:dyDescent="0.45">
      <c r="A132" t="s">
        <v>26</v>
      </c>
      <c r="B132">
        <v>151340019</v>
      </c>
      <c r="C132">
        <v>10001013</v>
      </c>
      <c r="D132" t="s">
        <v>27</v>
      </c>
      <c r="E132" t="s">
        <v>28</v>
      </c>
      <c r="F132">
        <v>348467</v>
      </c>
      <c r="G132">
        <v>5543177159</v>
      </c>
      <c r="H132">
        <v>22241475</v>
      </c>
      <c r="I132" t="s">
        <v>86</v>
      </c>
      <c r="K132" t="s">
        <v>30</v>
      </c>
      <c r="L132" t="s">
        <v>42</v>
      </c>
      <c r="M132">
        <v>0</v>
      </c>
      <c r="N132">
        <v>0</v>
      </c>
      <c r="O132">
        <v>75.000000009999994</v>
      </c>
      <c r="P132">
        <v>0</v>
      </c>
      <c r="Q132">
        <v>0</v>
      </c>
      <c r="R132">
        <v>75.000000009999994</v>
      </c>
      <c r="S132" t="s">
        <v>110</v>
      </c>
      <c r="T132" t="s">
        <v>58</v>
      </c>
      <c r="U132">
        <v>10001013</v>
      </c>
      <c r="Y132" t="s">
        <v>135</v>
      </c>
      <c r="AC132" t="s">
        <v>136</v>
      </c>
    </row>
    <row r="133" spans="1:29" x14ac:dyDescent="0.45">
      <c r="A133" t="s">
        <v>26</v>
      </c>
      <c r="B133">
        <v>151477226</v>
      </c>
      <c r="C133">
        <v>10001013</v>
      </c>
      <c r="D133" t="s">
        <v>27</v>
      </c>
      <c r="E133" t="s">
        <v>28</v>
      </c>
      <c r="F133">
        <v>348467</v>
      </c>
      <c r="G133">
        <v>5516759304</v>
      </c>
      <c r="H133">
        <v>24675410</v>
      </c>
      <c r="I133" t="s">
        <v>29</v>
      </c>
      <c r="K133" t="s">
        <v>30</v>
      </c>
      <c r="L133" t="s">
        <v>47</v>
      </c>
      <c r="M133">
        <v>150.00000001999999</v>
      </c>
      <c r="N133">
        <v>0</v>
      </c>
      <c r="O133">
        <v>0</v>
      </c>
      <c r="P133">
        <v>0</v>
      </c>
      <c r="Q133">
        <v>0</v>
      </c>
      <c r="R133">
        <v>150.00000001999999</v>
      </c>
      <c r="S133" t="s">
        <v>110</v>
      </c>
      <c r="T133" t="s">
        <v>38</v>
      </c>
      <c r="U133">
        <v>10001013</v>
      </c>
      <c r="Y133" t="s">
        <v>137</v>
      </c>
      <c r="AC133" t="s">
        <v>138</v>
      </c>
    </row>
    <row r="134" spans="1:29" x14ac:dyDescent="0.45">
      <c r="A134" t="s">
        <v>26</v>
      </c>
      <c r="B134">
        <v>151483962</v>
      </c>
      <c r="C134">
        <v>10001013</v>
      </c>
      <c r="D134" t="s">
        <v>27</v>
      </c>
      <c r="E134" t="s">
        <v>28</v>
      </c>
      <c r="F134">
        <v>353923</v>
      </c>
      <c r="G134">
        <v>5558012705</v>
      </c>
      <c r="H134">
        <v>24689243</v>
      </c>
      <c r="I134" t="s">
        <v>29</v>
      </c>
      <c r="K134" t="s">
        <v>30</v>
      </c>
      <c r="L134" t="s">
        <v>55</v>
      </c>
      <c r="M134">
        <v>150.00000001999999</v>
      </c>
      <c r="N134">
        <v>0</v>
      </c>
      <c r="O134">
        <v>0</v>
      </c>
      <c r="P134">
        <v>0</v>
      </c>
      <c r="Q134">
        <v>0</v>
      </c>
      <c r="R134">
        <v>150.00000001999999</v>
      </c>
      <c r="S134" t="s">
        <v>120</v>
      </c>
      <c r="T134" t="s">
        <v>38</v>
      </c>
      <c r="U134">
        <v>10001013</v>
      </c>
      <c r="Y134" t="s">
        <v>137</v>
      </c>
      <c r="AC134" t="s">
        <v>138</v>
      </c>
    </row>
    <row r="135" spans="1:29" x14ac:dyDescent="0.45">
      <c r="A135" t="s">
        <v>26</v>
      </c>
      <c r="B135">
        <v>151481807</v>
      </c>
      <c r="C135">
        <v>10001013</v>
      </c>
      <c r="D135" t="s">
        <v>27</v>
      </c>
      <c r="E135" t="s">
        <v>28</v>
      </c>
      <c r="F135">
        <v>353923</v>
      </c>
      <c r="G135">
        <v>5511696912</v>
      </c>
      <c r="H135">
        <v>24655531</v>
      </c>
      <c r="I135" t="s">
        <v>29</v>
      </c>
      <c r="K135" t="s">
        <v>30</v>
      </c>
      <c r="L135" t="s">
        <v>42</v>
      </c>
      <c r="M135">
        <v>150.00000001999999</v>
      </c>
      <c r="N135">
        <v>0</v>
      </c>
      <c r="O135">
        <v>0</v>
      </c>
      <c r="P135">
        <v>0</v>
      </c>
      <c r="Q135">
        <v>0</v>
      </c>
      <c r="R135">
        <v>150.00000001999999</v>
      </c>
      <c r="S135" t="s">
        <v>115</v>
      </c>
      <c r="T135" t="s">
        <v>38</v>
      </c>
      <c r="U135">
        <v>10001013</v>
      </c>
      <c r="Y135" t="s">
        <v>137</v>
      </c>
      <c r="AC135" t="s">
        <v>138</v>
      </c>
    </row>
    <row r="136" spans="1:29" x14ac:dyDescent="0.45">
      <c r="A136" t="s">
        <v>26</v>
      </c>
      <c r="B136">
        <v>151481486</v>
      </c>
      <c r="C136">
        <v>10001013</v>
      </c>
      <c r="D136" t="s">
        <v>27</v>
      </c>
      <c r="E136" t="s">
        <v>28</v>
      </c>
      <c r="F136">
        <v>353923</v>
      </c>
      <c r="G136">
        <v>5511069012</v>
      </c>
      <c r="H136">
        <v>24658819</v>
      </c>
      <c r="I136" t="s">
        <v>29</v>
      </c>
      <c r="K136" t="s">
        <v>30</v>
      </c>
      <c r="L136" t="s">
        <v>55</v>
      </c>
      <c r="M136">
        <v>150.00000001999999</v>
      </c>
      <c r="N136">
        <v>0</v>
      </c>
      <c r="O136">
        <v>0</v>
      </c>
      <c r="P136">
        <v>0</v>
      </c>
      <c r="Q136">
        <v>0</v>
      </c>
      <c r="R136">
        <v>150.00000001999999</v>
      </c>
      <c r="S136" t="s">
        <v>120</v>
      </c>
      <c r="T136" t="s">
        <v>38</v>
      </c>
      <c r="U136">
        <v>10001013</v>
      </c>
      <c r="Y136" t="s">
        <v>137</v>
      </c>
      <c r="AC136" t="s">
        <v>138</v>
      </c>
    </row>
    <row r="137" spans="1:29" x14ac:dyDescent="0.45">
      <c r="A137" t="s">
        <v>26</v>
      </c>
      <c r="B137">
        <v>151480988</v>
      </c>
      <c r="C137">
        <v>10001013</v>
      </c>
      <c r="D137" t="s">
        <v>27</v>
      </c>
      <c r="E137" t="s">
        <v>28</v>
      </c>
      <c r="F137">
        <v>353923</v>
      </c>
      <c r="G137">
        <v>5511069191</v>
      </c>
      <c r="H137">
        <v>24705433</v>
      </c>
      <c r="I137" t="s">
        <v>29</v>
      </c>
      <c r="K137" t="s">
        <v>30</v>
      </c>
      <c r="L137" t="s">
        <v>55</v>
      </c>
      <c r="M137">
        <v>150.00000001999999</v>
      </c>
      <c r="N137">
        <v>0</v>
      </c>
      <c r="O137">
        <v>0</v>
      </c>
      <c r="P137">
        <v>0</v>
      </c>
      <c r="Q137">
        <v>0</v>
      </c>
      <c r="R137">
        <v>150.00000001999999</v>
      </c>
      <c r="S137" t="s">
        <v>110</v>
      </c>
      <c r="T137" t="s">
        <v>38</v>
      </c>
      <c r="U137">
        <v>10001013</v>
      </c>
      <c r="Y137" t="s">
        <v>137</v>
      </c>
      <c r="AC137" t="s">
        <v>138</v>
      </c>
    </row>
    <row r="138" spans="1:29" x14ac:dyDescent="0.45">
      <c r="A138" t="s">
        <v>26</v>
      </c>
      <c r="B138">
        <v>151479665</v>
      </c>
      <c r="C138">
        <v>10000064</v>
      </c>
      <c r="D138" t="s">
        <v>27</v>
      </c>
      <c r="E138" t="s">
        <v>28</v>
      </c>
      <c r="F138">
        <v>346072</v>
      </c>
      <c r="G138">
        <v>5513341428</v>
      </c>
      <c r="H138">
        <v>24675446</v>
      </c>
      <c r="I138" t="s">
        <v>29</v>
      </c>
      <c r="K138" t="s">
        <v>30</v>
      </c>
      <c r="L138" t="s">
        <v>47</v>
      </c>
      <c r="M138">
        <v>150.00000001999999</v>
      </c>
      <c r="N138">
        <v>0</v>
      </c>
      <c r="O138">
        <v>0</v>
      </c>
      <c r="P138">
        <v>0</v>
      </c>
      <c r="Q138">
        <v>0</v>
      </c>
      <c r="R138">
        <v>150.00000001999999</v>
      </c>
      <c r="S138" t="s">
        <v>110</v>
      </c>
      <c r="T138" t="s">
        <v>38</v>
      </c>
      <c r="U138">
        <v>10000064</v>
      </c>
      <c r="Y138" t="s">
        <v>137</v>
      </c>
      <c r="AC138" t="s">
        <v>138</v>
      </c>
    </row>
    <row r="139" spans="1:29" x14ac:dyDescent="0.45">
      <c r="A139" t="s">
        <v>26</v>
      </c>
      <c r="B139">
        <v>151479237</v>
      </c>
      <c r="C139">
        <v>10000064</v>
      </c>
      <c r="D139" t="s">
        <v>27</v>
      </c>
      <c r="E139" t="s">
        <v>28</v>
      </c>
      <c r="F139">
        <v>346072</v>
      </c>
      <c r="G139">
        <v>5513341399</v>
      </c>
      <c r="H139">
        <v>24675427</v>
      </c>
      <c r="I139" t="s">
        <v>29</v>
      </c>
      <c r="K139" t="s">
        <v>30</v>
      </c>
      <c r="L139" t="s">
        <v>40</v>
      </c>
      <c r="M139">
        <v>150.00000001999999</v>
      </c>
      <c r="N139">
        <v>0</v>
      </c>
      <c r="O139">
        <v>0</v>
      </c>
      <c r="P139">
        <v>0</v>
      </c>
      <c r="Q139">
        <v>0</v>
      </c>
      <c r="R139">
        <v>150.00000001999999</v>
      </c>
      <c r="S139" t="s">
        <v>114</v>
      </c>
      <c r="T139" t="s">
        <v>38</v>
      </c>
      <c r="U139">
        <v>10000064</v>
      </c>
      <c r="Y139" t="s">
        <v>137</v>
      </c>
      <c r="AC139" t="s">
        <v>138</v>
      </c>
    </row>
    <row r="140" spans="1:29" x14ac:dyDescent="0.45">
      <c r="A140" t="s">
        <v>26</v>
      </c>
      <c r="B140">
        <v>151477273</v>
      </c>
      <c r="C140">
        <v>10000064</v>
      </c>
      <c r="D140" t="s">
        <v>27</v>
      </c>
      <c r="E140" t="s">
        <v>28</v>
      </c>
      <c r="F140">
        <v>348485</v>
      </c>
      <c r="G140">
        <v>5526504934</v>
      </c>
      <c r="H140">
        <v>24597686</v>
      </c>
      <c r="I140" t="s">
        <v>29</v>
      </c>
      <c r="K140" t="s">
        <v>30</v>
      </c>
      <c r="L140" t="s">
        <v>31</v>
      </c>
      <c r="M140">
        <v>150.00000001999999</v>
      </c>
      <c r="N140">
        <v>0</v>
      </c>
      <c r="O140">
        <v>0</v>
      </c>
      <c r="P140">
        <v>0</v>
      </c>
      <c r="Q140">
        <v>0</v>
      </c>
      <c r="R140">
        <v>150.00000001999999</v>
      </c>
      <c r="S140" t="s">
        <v>110</v>
      </c>
      <c r="T140" t="s">
        <v>38</v>
      </c>
      <c r="U140">
        <v>10000064</v>
      </c>
      <c r="Y140" t="s">
        <v>137</v>
      </c>
      <c r="AC140" t="s">
        <v>138</v>
      </c>
    </row>
    <row r="141" spans="1:29" x14ac:dyDescent="0.45">
      <c r="A141" t="s">
        <v>26</v>
      </c>
      <c r="B141">
        <v>151477245</v>
      </c>
      <c r="C141">
        <v>10000064</v>
      </c>
      <c r="D141" t="s">
        <v>27</v>
      </c>
      <c r="E141" t="s">
        <v>28</v>
      </c>
      <c r="F141">
        <v>346072</v>
      </c>
      <c r="G141">
        <v>5555556377</v>
      </c>
      <c r="H141">
        <v>24648164</v>
      </c>
      <c r="I141" t="s">
        <v>29</v>
      </c>
      <c r="K141" t="s">
        <v>30</v>
      </c>
      <c r="L141" t="s">
        <v>40</v>
      </c>
      <c r="M141">
        <v>150.00000001999999</v>
      </c>
      <c r="N141">
        <v>0</v>
      </c>
      <c r="O141">
        <v>0</v>
      </c>
      <c r="P141">
        <v>0</v>
      </c>
      <c r="Q141">
        <v>0</v>
      </c>
      <c r="R141">
        <v>150.00000001999999</v>
      </c>
      <c r="S141" t="s">
        <v>110</v>
      </c>
      <c r="T141" t="s">
        <v>38</v>
      </c>
      <c r="U141">
        <v>10000064</v>
      </c>
      <c r="Y141" t="s">
        <v>137</v>
      </c>
      <c r="AC141" t="s">
        <v>138</v>
      </c>
    </row>
    <row r="142" spans="1:29" x14ac:dyDescent="0.45">
      <c r="A142" t="s">
        <v>26</v>
      </c>
      <c r="B142">
        <v>151489087</v>
      </c>
      <c r="C142">
        <v>10001013</v>
      </c>
      <c r="D142" t="s">
        <v>27</v>
      </c>
      <c r="E142" t="s">
        <v>28</v>
      </c>
      <c r="F142">
        <v>353923</v>
      </c>
      <c r="G142">
        <v>5522343856</v>
      </c>
      <c r="H142">
        <v>24779399</v>
      </c>
      <c r="I142" t="s">
        <v>29</v>
      </c>
      <c r="M142">
        <v>150.00000001999999</v>
      </c>
      <c r="N142">
        <v>0</v>
      </c>
      <c r="O142">
        <v>0</v>
      </c>
      <c r="P142">
        <v>0</v>
      </c>
      <c r="Q142">
        <v>0</v>
      </c>
      <c r="R142">
        <v>150.00000001999999</v>
      </c>
      <c r="S142" t="s">
        <v>120</v>
      </c>
      <c r="T142" t="s">
        <v>38</v>
      </c>
      <c r="U142">
        <v>10001013</v>
      </c>
      <c r="Y142" t="s">
        <v>137</v>
      </c>
      <c r="AC142" t="s">
        <v>138</v>
      </c>
    </row>
    <row r="143" spans="1:29" x14ac:dyDescent="0.45">
      <c r="A143" t="s">
        <v>26</v>
      </c>
      <c r="B143">
        <v>151472537</v>
      </c>
      <c r="C143">
        <v>10000064</v>
      </c>
      <c r="D143" t="s">
        <v>27</v>
      </c>
      <c r="E143" t="s">
        <v>28</v>
      </c>
      <c r="F143">
        <v>346072</v>
      </c>
      <c r="G143">
        <v>5523457529</v>
      </c>
      <c r="H143">
        <v>24648061</v>
      </c>
      <c r="I143" t="s">
        <v>29</v>
      </c>
      <c r="K143" t="s">
        <v>30</v>
      </c>
      <c r="L143" t="s">
        <v>40</v>
      </c>
      <c r="M143">
        <v>150.00000001999999</v>
      </c>
      <c r="N143">
        <v>0</v>
      </c>
      <c r="O143">
        <v>0</v>
      </c>
      <c r="P143">
        <v>0</v>
      </c>
      <c r="Q143">
        <v>0</v>
      </c>
      <c r="R143">
        <v>150.00000001999999</v>
      </c>
      <c r="S143" t="s">
        <v>110</v>
      </c>
      <c r="T143" t="s">
        <v>38</v>
      </c>
      <c r="U143">
        <v>10000064</v>
      </c>
      <c r="Y143" t="s">
        <v>137</v>
      </c>
      <c r="AC143" t="s">
        <v>138</v>
      </c>
    </row>
    <row r="144" spans="1:29" x14ac:dyDescent="0.45">
      <c r="A144" t="s">
        <v>26</v>
      </c>
      <c r="B144">
        <v>151473856</v>
      </c>
      <c r="C144">
        <v>10000064</v>
      </c>
      <c r="D144" t="s">
        <v>27</v>
      </c>
      <c r="E144" t="s">
        <v>28</v>
      </c>
      <c r="F144">
        <v>346072</v>
      </c>
      <c r="G144">
        <v>5592882662</v>
      </c>
      <c r="H144">
        <v>24548366</v>
      </c>
      <c r="I144" t="s">
        <v>29</v>
      </c>
      <c r="K144" t="s">
        <v>30</v>
      </c>
      <c r="L144" t="s">
        <v>40</v>
      </c>
      <c r="M144">
        <v>150.00000001999999</v>
      </c>
      <c r="N144">
        <v>0</v>
      </c>
      <c r="O144">
        <v>0</v>
      </c>
      <c r="P144">
        <v>0</v>
      </c>
      <c r="Q144">
        <v>0</v>
      </c>
      <c r="R144">
        <v>150.00000001999999</v>
      </c>
      <c r="S144" t="s">
        <v>110</v>
      </c>
      <c r="T144" t="s">
        <v>38</v>
      </c>
      <c r="U144">
        <v>10000064</v>
      </c>
      <c r="Y144" t="s">
        <v>137</v>
      </c>
      <c r="AC144" t="s">
        <v>138</v>
      </c>
    </row>
    <row r="145" spans="1:29" x14ac:dyDescent="0.45">
      <c r="A145" t="s">
        <v>26</v>
      </c>
      <c r="B145">
        <v>151451995</v>
      </c>
      <c r="C145">
        <v>10000064</v>
      </c>
      <c r="D145" t="s">
        <v>27</v>
      </c>
      <c r="E145" t="s">
        <v>28</v>
      </c>
      <c r="F145">
        <v>348485</v>
      </c>
      <c r="G145">
        <v>5555293997</v>
      </c>
      <c r="H145">
        <v>24171749</v>
      </c>
      <c r="I145" t="s">
        <v>29</v>
      </c>
      <c r="K145" t="s">
        <v>30</v>
      </c>
      <c r="L145" t="s">
        <v>101</v>
      </c>
      <c r="M145">
        <v>150.00000001999999</v>
      </c>
      <c r="N145">
        <v>0</v>
      </c>
      <c r="O145">
        <v>0</v>
      </c>
      <c r="P145">
        <v>0</v>
      </c>
      <c r="Q145">
        <v>0</v>
      </c>
      <c r="R145">
        <v>150.00000001999999</v>
      </c>
      <c r="S145" t="s">
        <v>115</v>
      </c>
      <c r="T145" t="s">
        <v>38</v>
      </c>
      <c r="U145">
        <v>10000064</v>
      </c>
      <c r="Y145" t="s">
        <v>137</v>
      </c>
      <c r="AC145" t="s">
        <v>138</v>
      </c>
    </row>
    <row r="146" spans="1:29" x14ac:dyDescent="0.45">
      <c r="A146" t="s">
        <v>26</v>
      </c>
      <c r="B146">
        <v>151440349</v>
      </c>
      <c r="C146">
        <v>10001013</v>
      </c>
      <c r="D146" t="s">
        <v>27</v>
      </c>
      <c r="E146" t="s">
        <v>28</v>
      </c>
      <c r="F146">
        <v>348467</v>
      </c>
      <c r="G146">
        <v>5576022147</v>
      </c>
      <c r="H146">
        <v>24022634</v>
      </c>
      <c r="I146" t="s">
        <v>100</v>
      </c>
      <c r="K146" t="s">
        <v>30</v>
      </c>
      <c r="L146" t="s">
        <v>40</v>
      </c>
      <c r="M146">
        <v>0</v>
      </c>
      <c r="N146">
        <v>0</v>
      </c>
      <c r="O146">
        <v>75.000000009999994</v>
      </c>
      <c r="P146">
        <v>0</v>
      </c>
      <c r="Q146">
        <v>0</v>
      </c>
      <c r="R146">
        <v>75.000000009999994</v>
      </c>
      <c r="S146" t="s">
        <v>110</v>
      </c>
      <c r="T146" t="s">
        <v>58</v>
      </c>
      <c r="U146">
        <v>10001013</v>
      </c>
      <c r="Y146" t="s">
        <v>137</v>
      </c>
      <c r="AC146" t="s">
        <v>138</v>
      </c>
    </row>
    <row r="147" spans="1:29" x14ac:dyDescent="0.45">
      <c r="A147" t="s">
        <v>26</v>
      </c>
      <c r="B147">
        <v>151437027</v>
      </c>
      <c r="C147">
        <v>10000064</v>
      </c>
      <c r="D147" t="s">
        <v>27</v>
      </c>
      <c r="E147" t="s">
        <v>28</v>
      </c>
      <c r="F147">
        <v>346072</v>
      </c>
      <c r="G147">
        <v>5556752022</v>
      </c>
      <c r="H147">
        <v>24027548</v>
      </c>
      <c r="I147" t="s">
        <v>83</v>
      </c>
      <c r="K147" t="s">
        <v>30</v>
      </c>
      <c r="L147" t="s">
        <v>42</v>
      </c>
      <c r="M147">
        <v>0</v>
      </c>
      <c r="N147">
        <v>0</v>
      </c>
      <c r="O147">
        <v>75.000000009999994</v>
      </c>
      <c r="P147">
        <v>0</v>
      </c>
      <c r="Q147">
        <v>0</v>
      </c>
      <c r="R147">
        <v>75.000000009999994</v>
      </c>
      <c r="S147" t="s">
        <v>106</v>
      </c>
      <c r="T147" t="s">
        <v>58</v>
      </c>
      <c r="U147">
        <v>10000064</v>
      </c>
      <c r="Y147" t="s">
        <v>137</v>
      </c>
      <c r="AC147" t="s">
        <v>138</v>
      </c>
    </row>
    <row r="148" spans="1:29" x14ac:dyDescent="0.45">
      <c r="A148" t="s">
        <v>26</v>
      </c>
      <c r="B148">
        <v>151364624</v>
      </c>
      <c r="C148">
        <v>10000064</v>
      </c>
      <c r="D148" t="s">
        <v>27</v>
      </c>
      <c r="E148" t="s">
        <v>28</v>
      </c>
      <c r="F148">
        <v>346126</v>
      </c>
      <c r="G148">
        <v>5554896077</v>
      </c>
      <c r="H148">
        <v>22615535</v>
      </c>
      <c r="I148" t="s">
        <v>95</v>
      </c>
      <c r="K148" t="s">
        <v>30</v>
      </c>
      <c r="L148" t="s">
        <v>40</v>
      </c>
      <c r="M148">
        <v>0</v>
      </c>
      <c r="N148">
        <v>0</v>
      </c>
      <c r="O148">
        <v>75.000000009999994</v>
      </c>
      <c r="P148">
        <v>0</v>
      </c>
      <c r="Q148">
        <v>0</v>
      </c>
      <c r="R148">
        <v>75.000000009999994</v>
      </c>
      <c r="S148" t="s">
        <v>110</v>
      </c>
      <c r="T148" t="s">
        <v>58</v>
      </c>
      <c r="U148">
        <v>10000064</v>
      </c>
      <c r="Y148" t="s">
        <v>137</v>
      </c>
      <c r="AC148" t="s">
        <v>138</v>
      </c>
    </row>
    <row r="149" spans="1:29" x14ac:dyDescent="0.45">
      <c r="A149" t="s">
        <v>26</v>
      </c>
      <c r="B149">
        <v>151358405</v>
      </c>
      <c r="C149">
        <v>10001013</v>
      </c>
      <c r="D149" t="s">
        <v>27</v>
      </c>
      <c r="E149" t="s">
        <v>28</v>
      </c>
      <c r="F149">
        <v>345495</v>
      </c>
      <c r="G149">
        <v>5558621152</v>
      </c>
      <c r="H149">
        <v>22437453</v>
      </c>
      <c r="I149" t="s">
        <v>99</v>
      </c>
      <c r="K149" t="s">
        <v>30</v>
      </c>
      <c r="L149" t="s">
        <v>39</v>
      </c>
      <c r="M149">
        <v>0</v>
      </c>
      <c r="N149">
        <v>0</v>
      </c>
      <c r="O149">
        <v>75.000000009999994</v>
      </c>
      <c r="P149">
        <v>0</v>
      </c>
      <c r="Q149">
        <v>0</v>
      </c>
      <c r="R149">
        <v>75.000000009999994</v>
      </c>
      <c r="S149" t="s">
        <v>110</v>
      </c>
      <c r="T149" t="s">
        <v>58</v>
      </c>
      <c r="U149">
        <v>10001013</v>
      </c>
      <c r="Y149" t="s">
        <v>137</v>
      </c>
      <c r="AC149" t="s">
        <v>138</v>
      </c>
    </row>
    <row r="150" spans="1:29" x14ac:dyDescent="0.45">
      <c r="A150" t="s">
        <v>26</v>
      </c>
      <c r="B150">
        <v>151355829</v>
      </c>
      <c r="C150">
        <v>10001013</v>
      </c>
      <c r="D150" t="s">
        <v>27</v>
      </c>
      <c r="E150" t="s">
        <v>28</v>
      </c>
      <c r="F150">
        <v>348467</v>
      </c>
      <c r="G150">
        <v>5556458483</v>
      </c>
      <c r="H150">
        <v>22417743</v>
      </c>
      <c r="I150" t="s">
        <v>29</v>
      </c>
      <c r="K150" t="s">
        <v>30</v>
      </c>
      <c r="L150" t="s">
        <v>42</v>
      </c>
      <c r="M150">
        <v>150.00000001999999</v>
      </c>
      <c r="N150">
        <v>0</v>
      </c>
      <c r="O150">
        <v>0</v>
      </c>
      <c r="P150">
        <v>0</v>
      </c>
      <c r="Q150">
        <v>0</v>
      </c>
      <c r="R150">
        <v>150.00000001999999</v>
      </c>
      <c r="S150" t="s">
        <v>110</v>
      </c>
      <c r="T150" t="s">
        <v>38</v>
      </c>
      <c r="U150">
        <v>10001013</v>
      </c>
      <c r="Y150" t="s">
        <v>137</v>
      </c>
      <c r="AC150" t="s">
        <v>138</v>
      </c>
    </row>
    <row r="151" spans="1:29" x14ac:dyDescent="0.45">
      <c r="A151" t="s">
        <v>26</v>
      </c>
      <c r="B151">
        <v>151492481</v>
      </c>
      <c r="C151">
        <v>10000064</v>
      </c>
      <c r="D151" t="s">
        <v>27</v>
      </c>
      <c r="E151" t="s">
        <v>28</v>
      </c>
      <c r="F151">
        <v>348485</v>
      </c>
      <c r="G151">
        <v>5555552285</v>
      </c>
      <c r="H151">
        <v>24828093</v>
      </c>
      <c r="I151" t="s">
        <v>102</v>
      </c>
      <c r="K151" t="s">
        <v>30</v>
      </c>
      <c r="L151" t="s">
        <v>42</v>
      </c>
      <c r="M151">
        <v>187.000000005</v>
      </c>
      <c r="N151">
        <v>0</v>
      </c>
      <c r="O151">
        <v>0</v>
      </c>
      <c r="P151">
        <v>0</v>
      </c>
      <c r="Q151">
        <v>0</v>
      </c>
      <c r="R151">
        <v>187.000000005</v>
      </c>
      <c r="S151" t="s">
        <v>110</v>
      </c>
      <c r="T151" t="s">
        <v>38</v>
      </c>
      <c r="U151">
        <v>10000064</v>
      </c>
      <c r="Y151" t="s">
        <v>139</v>
      </c>
      <c r="AC151" t="s">
        <v>140</v>
      </c>
    </row>
    <row r="152" spans="1:29" x14ac:dyDescent="0.45">
      <c r="A152" t="s">
        <v>26</v>
      </c>
      <c r="B152">
        <v>151500396</v>
      </c>
      <c r="C152">
        <v>10000064</v>
      </c>
      <c r="D152" t="s">
        <v>27</v>
      </c>
      <c r="E152" t="s">
        <v>28</v>
      </c>
      <c r="F152">
        <v>352529</v>
      </c>
      <c r="G152">
        <v>5559495820</v>
      </c>
      <c r="H152">
        <v>25029561</v>
      </c>
      <c r="I152" t="s">
        <v>29</v>
      </c>
      <c r="M152">
        <v>187.000000005</v>
      </c>
      <c r="N152">
        <v>0</v>
      </c>
      <c r="O152">
        <v>0</v>
      </c>
      <c r="P152">
        <v>0</v>
      </c>
      <c r="Q152">
        <v>0</v>
      </c>
      <c r="R152">
        <v>187.000000005</v>
      </c>
      <c r="S152" t="s">
        <v>120</v>
      </c>
      <c r="T152" t="s">
        <v>38</v>
      </c>
      <c r="U152">
        <v>10000064</v>
      </c>
      <c r="Y152" t="s">
        <v>139</v>
      </c>
      <c r="AC152" t="s">
        <v>140</v>
      </c>
    </row>
    <row r="153" spans="1:29" x14ac:dyDescent="0.45">
      <c r="A153" t="s">
        <v>26</v>
      </c>
      <c r="B153">
        <v>151498103</v>
      </c>
      <c r="C153">
        <v>10001013</v>
      </c>
      <c r="D153" t="s">
        <v>27</v>
      </c>
      <c r="E153" t="s">
        <v>28</v>
      </c>
      <c r="F153">
        <v>353923</v>
      </c>
      <c r="G153">
        <v>5528729988</v>
      </c>
      <c r="H153">
        <v>24917652</v>
      </c>
      <c r="I153" t="s">
        <v>29</v>
      </c>
      <c r="K153" t="s">
        <v>30</v>
      </c>
      <c r="L153" t="s">
        <v>101</v>
      </c>
      <c r="M153">
        <v>187.000000005</v>
      </c>
      <c r="N153">
        <v>0</v>
      </c>
      <c r="O153">
        <v>0</v>
      </c>
      <c r="P153">
        <v>0</v>
      </c>
      <c r="Q153">
        <v>0</v>
      </c>
      <c r="R153">
        <v>187.000000005</v>
      </c>
      <c r="S153" t="s">
        <v>110</v>
      </c>
      <c r="T153" t="s">
        <v>38</v>
      </c>
      <c r="U153">
        <v>10001013</v>
      </c>
      <c r="Y153" t="s">
        <v>139</v>
      </c>
      <c r="AC153" t="s">
        <v>140</v>
      </c>
    </row>
    <row r="154" spans="1:29" x14ac:dyDescent="0.45">
      <c r="A154" t="s">
        <v>26</v>
      </c>
      <c r="B154">
        <v>151497756</v>
      </c>
      <c r="C154">
        <v>10001013</v>
      </c>
      <c r="D154" t="s">
        <v>27</v>
      </c>
      <c r="E154" t="s">
        <v>28</v>
      </c>
      <c r="F154">
        <v>353923</v>
      </c>
      <c r="G154">
        <v>5557578615</v>
      </c>
      <c r="H154">
        <v>25038506</v>
      </c>
      <c r="I154" t="s">
        <v>29</v>
      </c>
      <c r="K154" t="s">
        <v>30</v>
      </c>
      <c r="L154" t="s">
        <v>101</v>
      </c>
      <c r="M154">
        <v>187.000000005</v>
      </c>
      <c r="N154">
        <v>0</v>
      </c>
      <c r="O154">
        <v>0</v>
      </c>
      <c r="P154">
        <v>0</v>
      </c>
      <c r="Q154">
        <v>0</v>
      </c>
      <c r="R154">
        <v>187.000000005</v>
      </c>
      <c r="S154" t="s">
        <v>110</v>
      </c>
      <c r="T154" t="s">
        <v>38</v>
      </c>
      <c r="U154">
        <v>10001013</v>
      </c>
      <c r="Y154" t="s">
        <v>139</v>
      </c>
      <c r="AC154" t="s">
        <v>140</v>
      </c>
    </row>
    <row r="155" spans="1:29" x14ac:dyDescent="0.45">
      <c r="A155" t="s">
        <v>26</v>
      </c>
      <c r="B155">
        <v>151496895</v>
      </c>
      <c r="C155">
        <v>10001013</v>
      </c>
      <c r="D155" t="s">
        <v>27</v>
      </c>
      <c r="E155" t="s">
        <v>28</v>
      </c>
      <c r="F155">
        <v>353923</v>
      </c>
      <c r="G155">
        <v>5559197065</v>
      </c>
      <c r="H155">
        <v>25038507</v>
      </c>
      <c r="I155" t="s">
        <v>29</v>
      </c>
      <c r="K155" t="s">
        <v>30</v>
      </c>
      <c r="L155" t="s">
        <v>55</v>
      </c>
      <c r="M155">
        <v>187.000000005</v>
      </c>
      <c r="N155">
        <v>0</v>
      </c>
      <c r="O155">
        <v>0</v>
      </c>
      <c r="P155">
        <v>0</v>
      </c>
      <c r="Q155">
        <v>0</v>
      </c>
      <c r="R155">
        <v>187.000000005</v>
      </c>
      <c r="S155" t="s">
        <v>110</v>
      </c>
      <c r="T155" t="s">
        <v>38</v>
      </c>
      <c r="U155">
        <v>10001013</v>
      </c>
      <c r="Y155" t="s">
        <v>139</v>
      </c>
      <c r="AC155" t="s">
        <v>140</v>
      </c>
    </row>
    <row r="156" spans="1:29" x14ac:dyDescent="0.45">
      <c r="A156" t="s">
        <v>26</v>
      </c>
      <c r="B156">
        <v>151496325</v>
      </c>
      <c r="C156">
        <v>10000064</v>
      </c>
      <c r="D156" t="s">
        <v>27</v>
      </c>
      <c r="E156" t="s">
        <v>28</v>
      </c>
      <c r="F156">
        <v>352529</v>
      </c>
      <c r="G156">
        <v>5528395750</v>
      </c>
      <c r="H156">
        <v>24890289</v>
      </c>
      <c r="I156" t="s">
        <v>29</v>
      </c>
      <c r="K156" t="s">
        <v>30</v>
      </c>
      <c r="L156" t="s">
        <v>39</v>
      </c>
      <c r="M156">
        <v>187.000000005</v>
      </c>
      <c r="N156">
        <v>0</v>
      </c>
      <c r="O156">
        <v>0</v>
      </c>
      <c r="P156">
        <v>0</v>
      </c>
      <c r="Q156">
        <v>0</v>
      </c>
      <c r="R156">
        <v>187.000000005</v>
      </c>
      <c r="S156" t="s">
        <v>120</v>
      </c>
      <c r="T156" t="s">
        <v>38</v>
      </c>
      <c r="U156">
        <v>10000064</v>
      </c>
      <c r="Y156" t="s">
        <v>139</v>
      </c>
      <c r="AC156" t="s">
        <v>140</v>
      </c>
    </row>
    <row r="157" spans="1:29" x14ac:dyDescent="0.45">
      <c r="A157" t="s">
        <v>26</v>
      </c>
      <c r="B157">
        <v>151494524</v>
      </c>
      <c r="C157">
        <v>10001013</v>
      </c>
      <c r="D157" t="s">
        <v>27</v>
      </c>
      <c r="E157" t="s">
        <v>28</v>
      </c>
      <c r="F157">
        <v>353923</v>
      </c>
      <c r="G157">
        <v>5572587959</v>
      </c>
      <c r="H157">
        <v>24851283</v>
      </c>
      <c r="I157" t="s">
        <v>102</v>
      </c>
      <c r="K157" t="s">
        <v>30</v>
      </c>
      <c r="L157" t="s">
        <v>55</v>
      </c>
      <c r="M157">
        <v>187.000000005</v>
      </c>
      <c r="N157">
        <v>0</v>
      </c>
      <c r="O157">
        <v>0</v>
      </c>
      <c r="P157">
        <v>0</v>
      </c>
      <c r="Q157">
        <v>0</v>
      </c>
      <c r="R157">
        <v>187.000000005</v>
      </c>
      <c r="S157" t="s">
        <v>114</v>
      </c>
      <c r="T157" t="s">
        <v>38</v>
      </c>
      <c r="U157">
        <v>10001013</v>
      </c>
      <c r="Y157" t="s">
        <v>139</v>
      </c>
      <c r="AC157" t="s">
        <v>140</v>
      </c>
    </row>
    <row r="158" spans="1:29" x14ac:dyDescent="0.45">
      <c r="A158" t="s">
        <v>26</v>
      </c>
      <c r="B158">
        <v>151494294</v>
      </c>
      <c r="C158">
        <v>10000064</v>
      </c>
      <c r="D158" t="s">
        <v>27</v>
      </c>
      <c r="E158" t="s">
        <v>28</v>
      </c>
      <c r="F158">
        <v>348485</v>
      </c>
      <c r="G158">
        <v>5522085767</v>
      </c>
      <c r="H158">
        <v>24850674</v>
      </c>
      <c r="I158" t="s">
        <v>102</v>
      </c>
      <c r="K158" t="s">
        <v>30</v>
      </c>
      <c r="L158" t="s">
        <v>42</v>
      </c>
      <c r="M158">
        <v>187.000000005</v>
      </c>
      <c r="N158">
        <v>0</v>
      </c>
      <c r="O158">
        <v>0</v>
      </c>
      <c r="P158">
        <v>0</v>
      </c>
      <c r="Q158">
        <v>0</v>
      </c>
      <c r="R158">
        <v>187.000000005</v>
      </c>
      <c r="S158" t="s">
        <v>110</v>
      </c>
      <c r="T158" t="s">
        <v>38</v>
      </c>
      <c r="U158">
        <v>10000064</v>
      </c>
      <c r="Y158" t="s">
        <v>139</v>
      </c>
      <c r="AC158" t="s">
        <v>140</v>
      </c>
    </row>
    <row r="159" spans="1:29" x14ac:dyDescent="0.45">
      <c r="A159" t="s">
        <v>26</v>
      </c>
      <c r="B159">
        <v>151494092</v>
      </c>
      <c r="C159">
        <v>10001013</v>
      </c>
      <c r="D159" t="s">
        <v>27</v>
      </c>
      <c r="E159" t="s">
        <v>28</v>
      </c>
      <c r="F159">
        <v>353923</v>
      </c>
      <c r="G159">
        <v>5552446486</v>
      </c>
      <c r="H159">
        <v>24851700</v>
      </c>
      <c r="I159" t="s">
        <v>102</v>
      </c>
      <c r="K159" t="s">
        <v>30</v>
      </c>
      <c r="L159" t="s">
        <v>55</v>
      </c>
      <c r="M159">
        <v>187.000000005</v>
      </c>
      <c r="N159">
        <v>0</v>
      </c>
      <c r="O159">
        <v>85.000000020000002</v>
      </c>
      <c r="P159">
        <v>0</v>
      </c>
      <c r="Q159">
        <v>0</v>
      </c>
      <c r="R159">
        <v>272.00000002500002</v>
      </c>
      <c r="S159" t="s">
        <v>110</v>
      </c>
      <c r="T159" t="s">
        <v>141</v>
      </c>
      <c r="U159">
        <v>10001013</v>
      </c>
      <c r="Y159" t="s">
        <v>139</v>
      </c>
      <c r="AC159" t="s">
        <v>140</v>
      </c>
    </row>
    <row r="160" spans="1:29" x14ac:dyDescent="0.45">
      <c r="A160" t="s">
        <v>26</v>
      </c>
      <c r="B160">
        <v>151492967</v>
      </c>
      <c r="C160">
        <v>10000064</v>
      </c>
      <c r="D160" t="s">
        <v>27</v>
      </c>
      <c r="E160" t="s">
        <v>28</v>
      </c>
      <c r="F160">
        <v>348485</v>
      </c>
      <c r="G160">
        <v>5555556825</v>
      </c>
      <c r="H160">
        <v>24829026</v>
      </c>
      <c r="I160" t="s">
        <v>29</v>
      </c>
      <c r="M160">
        <v>187.000000005</v>
      </c>
      <c r="N160">
        <v>0</v>
      </c>
      <c r="O160">
        <v>0</v>
      </c>
      <c r="P160">
        <v>0</v>
      </c>
      <c r="Q160">
        <v>0</v>
      </c>
      <c r="R160">
        <v>187.000000005</v>
      </c>
      <c r="S160" t="s">
        <v>110</v>
      </c>
      <c r="T160" t="s">
        <v>38</v>
      </c>
      <c r="U160">
        <v>10000064</v>
      </c>
      <c r="Y160" t="s">
        <v>139</v>
      </c>
      <c r="AC160" t="s">
        <v>140</v>
      </c>
    </row>
    <row r="161" spans="1:29" x14ac:dyDescent="0.45">
      <c r="A161" t="s">
        <v>26</v>
      </c>
      <c r="B161">
        <v>151451990</v>
      </c>
      <c r="C161">
        <v>10001013</v>
      </c>
      <c r="D161" t="s">
        <v>27</v>
      </c>
      <c r="E161" t="s">
        <v>28</v>
      </c>
      <c r="F161">
        <v>348467</v>
      </c>
      <c r="G161">
        <v>5594643293</v>
      </c>
      <c r="H161">
        <v>24193581</v>
      </c>
      <c r="I161" t="s">
        <v>77</v>
      </c>
      <c r="K161" t="s">
        <v>30</v>
      </c>
      <c r="L161" t="s">
        <v>40</v>
      </c>
      <c r="M161">
        <v>0</v>
      </c>
      <c r="N161">
        <v>0</v>
      </c>
      <c r="O161">
        <v>85.000000020000002</v>
      </c>
      <c r="P161">
        <v>0</v>
      </c>
      <c r="Q161">
        <v>0</v>
      </c>
      <c r="R161">
        <v>85.000000020000002</v>
      </c>
      <c r="S161" t="s">
        <v>110</v>
      </c>
      <c r="T161" t="s">
        <v>58</v>
      </c>
      <c r="U161">
        <v>10001013</v>
      </c>
      <c r="Y161" t="s">
        <v>139</v>
      </c>
      <c r="AC161" t="s">
        <v>140</v>
      </c>
    </row>
    <row r="162" spans="1:29" x14ac:dyDescent="0.45">
      <c r="A162" t="s">
        <v>26</v>
      </c>
      <c r="B162">
        <v>151492435</v>
      </c>
      <c r="C162">
        <v>10000064</v>
      </c>
      <c r="D162" t="s">
        <v>27</v>
      </c>
      <c r="E162" t="s">
        <v>28</v>
      </c>
      <c r="F162">
        <v>346072</v>
      </c>
      <c r="G162">
        <v>5511072850</v>
      </c>
      <c r="H162">
        <v>24837847</v>
      </c>
      <c r="I162" t="s">
        <v>102</v>
      </c>
      <c r="K162" t="s">
        <v>30</v>
      </c>
      <c r="L162" t="s">
        <v>39</v>
      </c>
      <c r="M162">
        <v>187.000000005</v>
      </c>
      <c r="N162">
        <v>0</v>
      </c>
      <c r="O162">
        <v>0</v>
      </c>
      <c r="P162">
        <v>0</v>
      </c>
      <c r="Q162">
        <v>0</v>
      </c>
      <c r="R162">
        <v>187.000000005</v>
      </c>
      <c r="S162" t="s">
        <v>115</v>
      </c>
      <c r="T162" t="s">
        <v>38</v>
      </c>
      <c r="U162">
        <v>10000064</v>
      </c>
      <c r="Y162" t="s">
        <v>139</v>
      </c>
      <c r="AC162" t="s">
        <v>140</v>
      </c>
    </row>
    <row r="163" spans="1:29" x14ac:dyDescent="0.45">
      <c r="A163" t="s">
        <v>26</v>
      </c>
      <c r="B163">
        <v>151492357</v>
      </c>
      <c r="C163">
        <v>10000064</v>
      </c>
      <c r="D163" t="s">
        <v>27</v>
      </c>
      <c r="E163" t="s">
        <v>28</v>
      </c>
      <c r="F163">
        <v>348485</v>
      </c>
      <c r="G163">
        <v>5555556438</v>
      </c>
      <c r="H163">
        <v>24828526</v>
      </c>
      <c r="I163" t="s">
        <v>102</v>
      </c>
      <c r="K163" t="s">
        <v>30</v>
      </c>
      <c r="L163" t="s">
        <v>42</v>
      </c>
      <c r="M163">
        <v>187.000000005</v>
      </c>
      <c r="N163">
        <v>0</v>
      </c>
      <c r="O163">
        <v>0</v>
      </c>
      <c r="P163">
        <v>0</v>
      </c>
      <c r="Q163">
        <v>0</v>
      </c>
      <c r="R163">
        <v>187.000000005</v>
      </c>
      <c r="S163" t="s">
        <v>110</v>
      </c>
      <c r="T163" t="s">
        <v>38</v>
      </c>
      <c r="U163">
        <v>10000064</v>
      </c>
      <c r="Y163" t="s">
        <v>139</v>
      </c>
      <c r="AC163" t="s">
        <v>140</v>
      </c>
    </row>
    <row r="164" spans="1:29" x14ac:dyDescent="0.45">
      <c r="A164" t="s">
        <v>26</v>
      </c>
      <c r="B164">
        <v>151490113</v>
      </c>
      <c r="C164">
        <v>10000064</v>
      </c>
      <c r="D164" t="s">
        <v>27</v>
      </c>
      <c r="E164" t="s">
        <v>28</v>
      </c>
      <c r="F164">
        <v>346072</v>
      </c>
      <c r="G164">
        <v>5552661949</v>
      </c>
      <c r="H164">
        <v>24845879</v>
      </c>
      <c r="I164" t="s">
        <v>29</v>
      </c>
      <c r="K164" t="s">
        <v>30</v>
      </c>
      <c r="L164" t="s">
        <v>42</v>
      </c>
      <c r="M164">
        <v>187.000000005</v>
      </c>
      <c r="N164">
        <v>0</v>
      </c>
      <c r="O164">
        <v>0</v>
      </c>
      <c r="P164">
        <v>0</v>
      </c>
      <c r="Q164">
        <v>0</v>
      </c>
      <c r="R164">
        <v>187.000000005</v>
      </c>
      <c r="S164" t="s">
        <v>110</v>
      </c>
      <c r="T164" t="s">
        <v>38</v>
      </c>
      <c r="U164">
        <v>10000064</v>
      </c>
      <c r="Y164" t="s">
        <v>139</v>
      </c>
      <c r="AC164" t="s">
        <v>140</v>
      </c>
    </row>
    <row r="165" spans="1:29" x14ac:dyDescent="0.45">
      <c r="A165" t="s">
        <v>26</v>
      </c>
      <c r="B165">
        <v>151488756</v>
      </c>
      <c r="C165">
        <v>10000064</v>
      </c>
      <c r="D165" t="s">
        <v>27</v>
      </c>
      <c r="E165" t="s">
        <v>28</v>
      </c>
      <c r="F165">
        <v>346072</v>
      </c>
      <c r="G165">
        <v>5592144774</v>
      </c>
      <c r="H165">
        <v>24776504</v>
      </c>
      <c r="I165" t="s">
        <v>29</v>
      </c>
      <c r="M165">
        <v>187.000000005</v>
      </c>
      <c r="N165">
        <v>0</v>
      </c>
      <c r="O165">
        <v>0</v>
      </c>
      <c r="P165">
        <v>0</v>
      </c>
      <c r="Q165">
        <v>0</v>
      </c>
      <c r="R165">
        <v>187.000000005</v>
      </c>
      <c r="S165" t="s">
        <v>110</v>
      </c>
      <c r="T165" t="s">
        <v>38</v>
      </c>
      <c r="U165">
        <v>10000064</v>
      </c>
      <c r="Y165" t="s">
        <v>139</v>
      </c>
      <c r="AC165" t="s">
        <v>140</v>
      </c>
    </row>
    <row r="166" spans="1:29" x14ac:dyDescent="0.45">
      <c r="A166" t="s">
        <v>26</v>
      </c>
      <c r="B166">
        <v>151487136</v>
      </c>
      <c r="C166">
        <v>10001013</v>
      </c>
      <c r="D166" t="s">
        <v>27</v>
      </c>
      <c r="E166" t="s">
        <v>28</v>
      </c>
      <c r="F166">
        <v>353923</v>
      </c>
      <c r="G166">
        <v>5594606249</v>
      </c>
      <c r="H166">
        <v>25023303</v>
      </c>
      <c r="I166" t="s">
        <v>29</v>
      </c>
      <c r="K166" t="s">
        <v>30</v>
      </c>
      <c r="L166" t="s">
        <v>40</v>
      </c>
      <c r="M166">
        <v>187.000000005</v>
      </c>
      <c r="N166">
        <v>0</v>
      </c>
      <c r="O166">
        <v>0</v>
      </c>
      <c r="P166">
        <v>0</v>
      </c>
      <c r="Q166">
        <v>0</v>
      </c>
      <c r="R166">
        <v>187.000000005</v>
      </c>
      <c r="S166" t="s">
        <v>106</v>
      </c>
      <c r="T166" t="s">
        <v>38</v>
      </c>
      <c r="U166">
        <v>10001013</v>
      </c>
      <c r="Y166" t="s">
        <v>139</v>
      </c>
      <c r="AC166" t="s">
        <v>140</v>
      </c>
    </row>
    <row r="167" spans="1:29" x14ac:dyDescent="0.45">
      <c r="A167" t="s">
        <v>26</v>
      </c>
      <c r="B167">
        <v>151486768</v>
      </c>
      <c r="C167">
        <v>10000064</v>
      </c>
      <c r="D167" t="s">
        <v>27</v>
      </c>
      <c r="E167" t="s">
        <v>28</v>
      </c>
      <c r="F167">
        <v>346072</v>
      </c>
      <c r="G167">
        <v>5528393212</v>
      </c>
      <c r="H167">
        <v>24867956</v>
      </c>
      <c r="I167" t="s">
        <v>102</v>
      </c>
      <c r="K167" t="s">
        <v>30</v>
      </c>
      <c r="L167" t="s">
        <v>40</v>
      </c>
      <c r="M167">
        <v>187.000000005</v>
      </c>
      <c r="N167">
        <v>0</v>
      </c>
      <c r="O167">
        <v>0</v>
      </c>
      <c r="P167">
        <v>0</v>
      </c>
      <c r="Q167">
        <v>0</v>
      </c>
      <c r="R167">
        <v>187.000000005</v>
      </c>
      <c r="S167" t="s">
        <v>114</v>
      </c>
      <c r="T167" t="s">
        <v>38</v>
      </c>
      <c r="U167">
        <v>10000064</v>
      </c>
      <c r="Y167" t="s">
        <v>139</v>
      </c>
      <c r="AC167" t="s">
        <v>140</v>
      </c>
    </row>
    <row r="168" spans="1:29" x14ac:dyDescent="0.45">
      <c r="A168" t="s">
        <v>26</v>
      </c>
      <c r="B168">
        <v>151470043</v>
      </c>
      <c r="C168">
        <v>10000064</v>
      </c>
      <c r="D168" t="s">
        <v>27</v>
      </c>
      <c r="E168" t="s">
        <v>28</v>
      </c>
      <c r="F168">
        <v>346072</v>
      </c>
      <c r="G168">
        <v>5556479906</v>
      </c>
      <c r="H168">
        <v>24921285</v>
      </c>
      <c r="I168" t="s">
        <v>29</v>
      </c>
      <c r="K168" t="s">
        <v>30</v>
      </c>
      <c r="L168" t="s">
        <v>40</v>
      </c>
      <c r="M168">
        <v>187.000000005</v>
      </c>
      <c r="N168">
        <v>0</v>
      </c>
      <c r="O168">
        <v>0</v>
      </c>
      <c r="P168">
        <v>0</v>
      </c>
      <c r="Q168">
        <v>0</v>
      </c>
      <c r="R168">
        <v>187.000000005</v>
      </c>
      <c r="S168" t="s">
        <v>110</v>
      </c>
      <c r="T168" t="s">
        <v>38</v>
      </c>
      <c r="U168">
        <v>10000064</v>
      </c>
      <c r="Y168" t="s">
        <v>139</v>
      </c>
      <c r="AC168" t="s">
        <v>140</v>
      </c>
    </row>
    <row r="169" spans="1:29" x14ac:dyDescent="0.45">
      <c r="A169" t="s">
        <v>26</v>
      </c>
      <c r="B169">
        <v>151460739</v>
      </c>
      <c r="C169">
        <v>10000064</v>
      </c>
      <c r="D169" t="s">
        <v>27</v>
      </c>
      <c r="E169" t="s">
        <v>28</v>
      </c>
      <c r="F169">
        <v>346072</v>
      </c>
      <c r="G169">
        <v>5527910658</v>
      </c>
      <c r="H169">
        <v>24472161</v>
      </c>
      <c r="I169" t="s">
        <v>95</v>
      </c>
      <c r="K169" t="s">
        <v>30</v>
      </c>
      <c r="L169" t="s">
        <v>47</v>
      </c>
      <c r="M169">
        <v>0</v>
      </c>
      <c r="N169">
        <v>0</v>
      </c>
      <c r="O169">
        <v>85.000000020000002</v>
      </c>
      <c r="P169">
        <v>0</v>
      </c>
      <c r="Q169">
        <v>0</v>
      </c>
      <c r="R169">
        <v>85.000000020000002</v>
      </c>
      <c r="S169" t="s">
        <v>113</v>
      </c>
      <c r="T169" t="s">
        <v>58</v>
      </c>
      <c r="U169">
        <v>10000064</v>
      </c>
      <c r="Y169" t="s">
        <v>139</v>
      </c>
      <c r="AC169" t="s">
        <v>140</v>
      </c>
    </row>
    <row r="170" spans="1:29" x14ac:dyDescent="0.45">
      <c r="A170" t="s">
        <v>26</v>
      </c>
      <c r="B170">
        <v>151456274</v>
      </c>
      <c r="C170">
        <v>10000064</v>
      </c>
      <c r="D170" t="s">
        <v>27</v>
      </c>
      <c r="E170" t="s">
        <v>28</v>
      </c>
      <c r="F170">
        <v>346072</v>
      </c>
      <c r="G170">
        <v>5524665347</v>
      </c>
      <c r="H170">
        <v>24472122</v>
      </c>
      <c r="I170" t="s">
        <v>95</v>
      </c>
      <c r="K170" t="s">
        <v>30</v>
      </c>
      <c r="L170" t="s">
        <v>40</v>
      </c>
      <c r="M170">
        <v>0</v>
      </c>
      <c r="N170">
        <v>0</v>
      </c>
      <c r="O170">
        <v>85.000000020000002</v>
      </c>
      <c r="P170">
        <v>0</v>
      </c>
      <c r="Q170">
        <v>0</v>
      </c>
      <c r="R170">
        <v>85.000000020000002</v>
      </c>
      <c r="S170" t="s">
        <v>110</v>
      </c>
      <c r="T170" t="s">
        <v>58</v>
      </c>
      <c r="U170">
        <v>10000064</v>
      </c>
      <c r="Y170" t="s">
        <v>139</v>
      </c>
      <c r="AC170" t="s">
        <v>140</v>
      </c>
    </row>
    <row r="171" spans="1:29" x14ac:dyDescent="0.45">
      <c r="A171" t="s">
        <v>26</v>
      </c>
      <c r="B171">
        <v>151437088</v>
      </c>
      <c r="C171">
        <v>10000064</v>
      </c>
      <c r="D171" t="s">
        <v>27</v>
      </c>
      <c r="E171" t="s">
        <v>28</v>
      </c>
      <c r="F171">
        <v>346072</v>
      </c>
      <c r="G171">
        <v>5556412654</v>
      </c>
      <c r="H171">
        <v>24011181</v>
      </c>
      <c r="I171" t="s">
        <v>29</v>
      </c>
      <c r="K171" t="s">
        <v>30</v>
      </c>
      <c r="L171" t="s">
        <v>42</v>
      </c>
      <c r="M171">
        <v>36.999999998</v>
      </c>
      <c r="N171">
        <v>0</v>
      </c>
      <c r="O171">
        <v>0</v>
      </c>
      <c r="P171">
        <v>0</v>
      </c>
      <c r="Q171">
        <v>0</v>
      </c>
      <c r="R171">
        <v>36.999999998</v>
      </c>
      <c r="S171" t="s">
        <v>110</v>
      </c>
      <c r="T171" t="s">
        <v>111</v>
      </c>
      <c r="U171">
        <v>10000064</v>
      </c>
      <c r="Y171" t="s">
        <v>142</v>
      </c>
      <c r="AC171" t="s">
        <v>143</v>
      </c>
    </row>
    <row r="172" spans="1:29" x14ac:dyDescent="0.45">
      <c r="A172" t="s">
        <v>26</v>
      </c>
      <c r="B172">
        <v>151509706</v>
      </c>
      <c r="C172">
        <v>10000064</v>
      </c>
      <c r="D172" t="s">
        <v>27</v>
      </c>
      <c r="E172" t="s">
        <v>28</v>
      </c>
      <c r="F172">
        <v>352529</v>
      </c>
      <c r="G172">
        <v>5559106743</v>
      </c>
      <c r="H172">
        <v>25152520</v>
      </c>
      <c r="I172" t="s">
        <v>29</v>
      </c>
      <c r="K172" t="s">
        <v>30</v>
      </c>
      <c r="L172" t="s">
        <v>47</v>
      </c>
      <c r="M172">
        <v>187.000000005</v>
      </c>
      <c r="N172">
        <v>0</v>
      </c>
      <c r="O172">
        <v>0</v>
      </c>
      <c r="P172">
        <v>0</v>
      </c>
      <c r="Q172">
        <v>0</v>
      </c>
      <c r="R172">
        <v>187.000000005</v>
      </c>
      <c r="S172" t="s">
        <v>110</v>
      </c>
      <c r="T172" t="s">
        <v>38</v>
      </c>
      <c r="U172">
        <v>10000064</v>
      </c>
      <c r="Y172" t="s">
        <v>142</v>
      </c>
      <c r="AC172" t="s">
        <v>143</v>
      </c>
    </row>
    <row r="173" spans="1:29" x14ac:dyDescent="0.45">
      <c r="A173" t="s">
        <v>26</v>
      </c>
      <c r="B173">
        <v>151428281</v>
      </c>
      <c r="C173">
        <v>10001013</v>
      </c>
      <c r="D173" t="s">
        <v>27</v>
      </c>
      <c r="E173" t="s">
        <v>28</v>
      </c>
      <c r="F173">
        <v>345495</v>
      </c>
      <c r="G173">
        <v>5558598699</v>
      </c>
      <c r="H173">
        <v>23900873</v>
      </c>
      <c r="I173" t="s">
        <v>29</v>
      </c>
      <c r="K173" t="s">
        <v>30</v>
      </c>
      <c r="L173" t="s">
        <v>39</v>
      </c>
      <c r="M173">
        <v>36.999999998</v>
      </c>
      <c r="N173">
        <v>0</v>
      </c>
      <c r="O173">
        <v>0</v>
      </c>
      <c r="P173">
        <v>0</v>
      </c>
      <c r="Q173">
        <v>0</v>
      </c>
      <c r="R173">
        <v>36.999999998</v>
      </c>
      <c r="S173" t="s">
        <v>110</v>
      </c>
      <c r="T173" t="s">
        <v>111</v>
      </c>
      <c r="U173">
        <v>10001013</v>
      </c>
      <c r="Y173" t="s">
        <v>142</v>
      </c>
      <c r="AC173" t="s">
        <v>143</v>
      </c>
    </row>
    <row r="174" spans="1:29" x14ac:dyDescent="0.45">
      <c r="A174" t="s">
        <v>26</v>
      </c>
      <c r="B174">
        <v>151428315</v>
      </c>
      <c r="C174">
        <v>10001013</v>
      </c>
      <c r="D174" t="s">
        <v>27</v>
      </c>
      <c r="E174" t="s">
        <v>28</v>
      </c>
      <c r="F174">
        <v>345495</v>
      </c>
      <c r="G174">
        <v>5575829858</v>
      </c>
      <c r="H174">
        <v>23871005</v>
      </c>
      <c r="I174" t="s">
        <v>29</v>
      </c>
      <c r="K174" t="s">
        <v>30</v>
      </c>
      <c r="L174" t="s">
        <v>40</v>
      </c>
      <c r="M174">
        <v>36.999999998</v>
      </c>
      <c r="N174">
        <v>0</v>
      </c>
      <c r="O174">
        <v>-3.33500000015</v>
      </c>
      <c r="P174">
        <v>0</v>
      </c>
      <c r="Q174">
        <v>0</v>
      </c>
      <c r="R174">
        <v>33.664999998500001</v>
      </c>
      <c r="S174" t="s">
        <v>110</v>
      </c>
      <c r="T174" t="s">
        <v>107</v>
      </c>
      <c r="U174">
        <v>10001013</v>
      </c>
      <c r="Y174" t="s">
        <v>142</v>
      </c>
      <c r="AC174" t="s">
        <v>143</v>
      </c>
    </row>
    <row r="175" spans="1:29" x14ac:dyDescent="0.45">
      <c r="A175" t="s">
        <v>26</v>
      </c>
      <c r="B175">
        <v>151428390</v>
      </c>
      <c r="C175">
        <v>10001013</v>
      </c>
      <c r="D175" t="s">
        <v>27</v>
      </c>
      <c r="E175" t="s">
        <v>28</v>
      </c>
      <c r="F175">
        <v>345495</v>
      </c>
      <c r="G175">
        <v>5558409514</v>
      </c>
      <c r="H175">
        <v>23901523</v>
      </c>
      <c r="I175" t="s">
        <v>29</v>
      </c>
      <c r="K175" t="s">
        <v>30</v>
      </c>
      <c r="L175" t="s">
        <v>39</v>
      </c>
      <c r="M175">
        <v>36.999999998</v>
      </c>
      <c r="N175">
        <v>0</v>
      </c>
      <c r="O175">
        <v>0</v>
      </c>
      <c r="P175">
        <v>0</v>
      </c>
      <c r="Q175">
        <v>0</v>
      </c>
      <c r="R175">
        <v>36.999999998</v>
      </c>
      <c r="S175" t="s">
        <v>110</v>
      </c>
      <c r="T175" t="s">
        <v>111</v>
      </c>
      <c r="U175">
        <v>10001013</v>
      </c>
      <c r="Y175" t="s">
        <v>142</v>
      </c>
      <c r="AC175" t="s">
        <v>143</v>
      </c>
    </row>
    <row r="176" spans="1:29" x14ac:dyDescent="0.45">
      <c r="A176" t="s">
        <v>26</v>
      </c>
      <c r="B176">
        <v>151428398</v>
      </c>
      <c r="C176">
        <v>10001013</v>
      </c>
      <c r="D176" t="s">
        <v>27</v>
      </c>
      <c r="E176" t="s">
        <v>28</v>
      </c>
      <c r="F176">
        <v>348467</v>
      </c>
      <c r="G176">
        <v>5558434222</v>
      </c>
      <c r="H176">
        <v>23901714</v>
      </c>
      <c r="I176" t="s">
        <v>29</v>
      </c>
      <c r="K176" t="s">
        <v>30</v>
      </c>
      <c r="L176" t="s">
        <v>39</v>
      </c>
      <c r="M176">
        <v>36.999999998</v>
      </c>
      <c r="N176">
        <v>0</v>
      </c>
      <c r="O176">
        <v>0</v>
      </c>
      <c r="P176">
        <v>0</v>
      </c>
      <c r="Q176">
        <v>0</v>
      </c>
      <c r="R176">
        <v>36.999999998</v>
      </c>
      <c r="S176" t="s">
        <v>110</v>
      </c>
      <c r="T176" t="s">
        <v>111</v>
      </c>
      <c r="U176">
        <v>10001013</v>
      </c>
      <c r="Y176" t="s">
        <v>142</v>
      </c>
      <c r="AC176" t="s">
        <v>143</v>
      </c>
    </row>
    <row r="177" spans="1:29" x14ac:dyDescent="0.45">
      <c r="A177" t="s">
        <v>26</v>
      </c>
      <c r="B177">
        <v>151428449</v>
      </c>
      <c r="C177">
        <v>10000064</v>
      </c>
      <c r="D177" t="s">
        <v>27</v>
      </c>
      <c r="E177" t="s">
        <v>28</v>
      </c>
      <c r="F177">
        <v>348485</v>
      </c>
      <c r="G177">
        <v>5552760252</v>
      </c>
      <c r="H177">
        <v>23872387</v>
      </c>
      <c r="I177" t="s">
        <v>29</v>
      </c>
      <c r="K177" t="s">
        <v>30</v>
      </c>
      <c r="L177" t="s">
        <v>36</v>
      </c>
      <c r="M177">
        <v>36.999999998</v>
      </c>
      <c r="N177">
        <v>0</v>
      </c>
      <c r="O177">
        <v>0</v>
      </c>
      <c r="P177">
        <v>0</v>
      </c>
      <c r="Q177">
        <v>0</v>
      </c>
      <c r="R177">
        <v>36.999999998</v>
      </c>
      <c r="S177" t="s">
        <v>110</v>
      </c>
      <c r="T177" t="s">
        <v>111</v>
      </c>
      <c r="U177">
        <v>10000064</v>
      </c>
      <c r="Y177" t="s">
        <v>142</v>
      </c>
      <c r="AC177" t="s">
        <v>143</v>
      </c>
    </row>
    <row r="178" spans="1:29" x14ac:dyDescent="0.45">
      <c r="A178" t="s">
        <v>26</v>
      </c>
      <c r="B178">
        <v>151432596</v>
      </c>
      <c r="C178">
        <v>10000064</v>
      </c>
      <c r="D178" t="s">
        <v>27</v>
      </c>
      <c r="E178" t="s">
        <v>28</v>
      </c>
      <c r="F178">
        <v>346072</v>
      </c>
      <c r="G178">
        <v>5529243850</v>
      </c>
      <c r="H178">
        <v>23953054</v>
      </c>
      <c r="I178" t="s">
        <v>29</v>
      </c>
      <c r="K178" t="s">
        <v>30</v>
      </c>
      <c r="L178" t="s">
        <v>39</v>
      </c>
      <c r="M178">
        <v>36.999999998</v>
      </c>
      <c r="N178">
        <v>0</v>
      </c>
      <c r="O178">
        <v>-3.33500000015</v>
      </c>
      <c r="P178">
        <v>0</v>
      </c>
      <c r="Q178">
        <v>0</v>
      </c>
      <c r="R178">
        <v>33.664999998500001</v>
      </c>
      <c r="S178" t="s">
        <v>110</v>
      </c>
      <c r="T178" t="s">
        <v>107</v>
      </c>
      <c r="U178">
        <v>10000064</v>
      </c>
      <c r="Y178" t="s">
        <v>142</v>
      </c>
      <c r="AC178" t="s">
        <v>143</v>
      </c>
    </row>
    <row r="179" spans="1:29" x14ac:dyDescent="0.45">
      <c r="A179" t="s">
        <v>26</v>
      </c>
      <c r="B179">
        <v>151432662</v>
      </c>
      <c r="C179">
        <v>10000064</v>
      </c>
      <c r="D179" t="s">
        <v>27</v>
      </c>
      <c r="E179" t="s">
        <v>28</v>
      </c>
      <c r="F179">
        <v>346072</v>
      </c>
      <c r="G179">
        <v>5550854335</v>
      </c>
      <c r="H179">
        <v>23947687</v>
      </c>
      <c r="I179" t="s">
        <v>29</v>
      </c>
      <c r="K179" t="s">
        <v>30</v>
      </c>
      <c r="L179" t="s">
        <v>42</v>
      </c>
      <c r="M179">
        <v>36.999999998</v>
      </c>
      <c r="N179">
        <v>0</v>
      </c>
      <c r="O179">
        <v>0</v>
      </c>
      <c r="P179">
        <v>0</v>
      </c>
      <c r="Q179">
        <v>0</v>
      </c>
      <c r="R179">
        <v>36.999999998</v>
      </c>
      <c r="S179" t="s">
        <v>112</v>
      </c>
      <c r="T179" t="s">
        <v>111</v>
      </c>
      <c r="U179">
        <v>10000064</v>
      </c>
      <c r="Y179" t="s">
        <v>142</v>
      </c>
      <c r="AC179" t="s">
        <v>143</v>
      </c>
    </row>
    <row r="180" spans="1:29" x14ac:dyDescent="0.45">
      <c r="A180" t="s">
        <v>26</v>
      </c>
      <c r="B180">
        <v>151433451</v>
      </c>
      <c r="C180">
        <v>10001013</v>
      </c>
      <c r="D180" t="s">
        <v>27</v>
      </c>
      <c r="E180" t="s">
        <v>28</v>
      </c>
      <c r="F180">
        <v>348467</v>
      </c>
      <c r="G180">
        <v>5558635589</v>
      </c>
      <c r="H180">
        <v>23999401</v>
      </c>
      <c r="I180" t="s">
        <v>29</v>
      </c>
      <c r="K180" t="s">
        <v>30</v>
      </c>
      <c r="L180" t="s">
        <v>39</v>
      </c>
      <c r="M180">
        <v>36.999999998</v>
      </c>
      <c r="N180">
        <v>0</v>
      </c>
      <c r="O180">
        <v>0</v>
      </c>
      <c r="P180">
        <v>0</v>
      </c>
      <c r="Q180">
        <v>0</v>
      </c>
      <c r="R180">
        <v>36.999999998</v>
      </c>
      <c r="S180" t="s">
        <v>113</v>
      </c>
      <c r="T180" t="s">
        <v>111</v>
      </c>
      <c r="U180">
        <v>10001013</v>
      </c>
      <c r="Y180" t="s">
        <v>142</v>
      </c>
      <c r="AC180" t="s">
        <v>143</v>
      </c>
    </row>
    <row r="181" spans="1:29" x14ac:dyDescent="0.45">
      <c r="A181" t="s">
        <v>26</v>
      </c>
      <c r="B181">
        <v>151436375</v>
      </c>
      <c r="C181">
        <v>10000064</v>
      </c>
      <c r="D181" t="s">
        <v>27</v>
      </c>
      <c r="E181" t="s">
        <v>28</v>
      </c>
      <c r="F181">
        <v>352529</v>
      </c>
      <c r="G181">
        <v>5558591014</v>
      </c>
      <c r="H181">
        <v>23983232</v>
      </c>
      <c r="I181" t="s">
        <v>29</v>
      </c>
      <c r="K181" t="s">
        <v>30</v>
      </c>
      <c r="L181" t="s">
        <v>39</v>
      </c>
      <c r="M181">
        <v>36.999999998</v>
      </c>
      <c r="N181">
        <v>0</v>
      </c>
      <c r="O181">
        <v>0</v>
      </c>
      <c r="P181">
        <v>0</v>
      </c>
      <c r="Q181">
        <v>0</v>
      </c>
      <c r="R181">
        <v>36.999999998</v>
      </c>
      <c r="S181" t="s">
        <v>110</v>
      </c>
      <c r="T181" t="s">
        <v>111</v>
      </c>
      <c r="U181">
        <v>10000064</v>
      </c>
      <c r="Y181" t="s">
        <v>142</v>
      </c>
      <c r="AC181" t="s">
        <v>143</v>
      </c>
    </row>
    <row r="182" spans="1:29" x14ac:dyDescent="0.45">
      <c r="A182" t="s">
        <v>26</v>
      </c>
      <c r="B182">
        <v>151437027</v>
      </c>
      <c r="C182">
        <v>10000064</v>
      </c>
      <c r="D182" t="s">
        <v>27</v>
      </c>
      <c r="E182" t="s">
        <v>28</v>
      </c>
      <c r="F182">
        <v>346072</v>
      </c>
      <c r="G182">
        <v>5556752022</v>
      </c>
      <c r="H182">
        <v>24027548</v>
      </c>
      <c r="I182" t="s">
        <v>29</v>
      </c>
      <c r="K182" t="s">
        <v>30</v>
      </c>
      <c r="L182" t="s">
        <v>42</v>
      </c>
      <c r="M182">
        <v>36.999999998</v>
      </c>
      <c r="N182">
        <v>0</v>
      </c>
      <c r="O182">
        <v>-3.33500000015</v>
      </c>
      <c r="P182">
        <v>0</v>
      </c>
      <c r="Q182">
        <v>0</v>
      </c>
      <c r="R182">
        <v>33.664999998500001</v>
      </c>
      <c r="S182" t="s">
        <v>106</v>
      </c>
      <c r="T182" t="s">
        <v>107</v>
      </c>
      <c r="U182">
        <v>10000064</v>
      </c>
      <c r="Y182" t="s">
        <v>142</v>
      </c>
      <c r="AC182" t="s">
        <v>143</v>
      </c>
    </row>
    <row r="183" spans="1:29" x14ac:dyDescent="0.45">
      <c r="A183" t="s">
        <v>26</v>
      </c>
      <c r="B183">
        <v>151509675</v>
      </c>
      <c r="C183">
        <v>10000064</v>
      </c>
      <c r="D183" t="s">
        <v>27</v>
      </c>
      <c r="E183" t="s">
        <v>28</v>
      </c>
      <c r="F183">
        <v>348485</v>
      </c>
      <c r="G183">
        <v>5558560341</v>
      </c>
      <c r="H183">
        <v>25164802</v>
      </c>
      <c r="I183" t="s">
        <v>29</v>
      </c>
      <c r="K183" t="s">
        <v>30</v>
      </c>
      <c r="L183" t="s">
        <v>62</v>
      </c>
      <c r="M183">
        <v>187.000000005</v>
      </c>
      <c r="N183">
        <v>0</v>
      </c>
      <c r="O183">
        <v>0</v>
      </c>
      <c r="P183">
        <v>0</v>
      </c>
      <c r="Q183">
        <v>0</v>
      </c>
      <c r="R183">
        <v>187.000000005</v>
      </c>
      <c r="S183" t="s">
        <v>110</v>
      </c>
      <c r="T183" t="s">
        <v>38</v>
      </c>
      <c r="U183">
        <v>10000064</v>
      </c>
      <c r="Y183" t="s">
        <v>142</v>
      </c>
      <c r="AC183" t="s">
        <v>143</v>
      </c>
    </row>
    <row r="184" spans="1:29" x14ac:dyDescent="0.45">
      <c r="A184" t="s">
        <v>26</v>
      </c>
      <c r="B184">
        <v>151437536</v>
      </c>
      <c r="C184">
        <v>10000064</v>
      </c>
      <c r="D184" t="s">
        <v>27</v>
      </c>
      <c r="E184" t="s">
        <v>28</v>
      </c>
      <c r="F184">
        <v>348485</v>
      </c>
      <c r="G184">
        <v>5516734333</v>
      </c>
      <c r="H184">
        <v>23999326</v>
      </c>
      <c r="I184" t="s">
        <v>29</v>
      </c>
      <c r="K184" t="s">
        <v>30</v>
      </c>
      <c r="L184" t="s">
        <v>36</v>
      </c>
      <c r="M184">
        <v>36.999999998</v>
      </c>
      <c r="N184">
        <v>0</v>
      </c>
      <c r="O184">
        <v>-3.33500000015</v>
      </c>
      <c r="P184">
        <v>0</v>
      </c>
      <c r="Q184">
        <v>0</v>
      </c>
      <c r="R184">
        <v>33.664999998500001</v>
      </c>
      <c r="S184" t="s">
        <v>114</v>
      </c>
      <c r="T184" t="s">
        <v>107</v>
      </c>
      <c r="U184">
        <v>10000064</v>
      </c>
      <c r="Y184" t="s">
        <v>142</v>
      </c>
      <c r="AC184" t="s">
        <v>143</v>
      </c>
    </row>
    <row r="185" spans="1:29" x14ac:dyDescent="0.45">
      <c r="A185" t="s">
        <v>26</v>
      </c>
      <c r="B185">
        <v>151437578</v>
      </c>
      <c r="C185">
        <v>10000064</v>
      </c>
      <c r="D185" t="s">
        <v>27</v>
      </c>
      <c r="E185" t="s">
        <v>28</v>
      </c>
      <c r="F185">
        <v>348485</v>
      </c>
      <c r="G185">
        <v>5556538598</v>
      </c>
      <c r="H185">
        <v>24022053</v>
      </c>
      <c r="I185" t="s">
        <v>29</v>
      </c>
      <c r="K185" t="s">
        <v>30</v>
      </c>
      <c r="L185" t="s">
        <v>42</v>
      </c>
      <c r="M185">
        <v>36.999999998</v>
      </c>
      <c r="N185">
        <v>0</v>
      </c>
      <c r="O185">
        <v>0</v>
      </c>
      <c r="P185">
        <v>0</v>
      </c>
      <c r="Q185">
        <v>0</v>
      </c>
      <c r="R185">
        <v>36.999999998</v>
      </c>
      <c r="S185" t="s">
        <v>110</v>
      </c>
      <c r="T185" t="s">
        <v>111</v>
      </c>
      <c r="U185">
        <v>10000064</v>
      </c>
      <c r="Y185" t="s">
        <v>142</v>
      </c>
      <c r="AC185" t="s">
        <v>143</v>
      </c>
    </row>
    <row r="186" spans="1:29" x14ac:dyDescent="0.45">
      <c r="A186" t="s">
        <v>26</v>
      </c>
      <c r="B186">
        <v>151438772</v>
      </c>
      <c r="C186">
        <v>10001013</v>
      </c>
      <c r="D186" t="s">
        <v>27</v>
      </c>
      <c r="E186" t="s">
        <v>28</v>
      </c>
      <c r="F186">
        <v>348467</v>
      </c>
      <c r="G186">
        <v>5511049544</v>
      </c>
      <c r="H186">
        <v>24059074</v>
      </c>
      <c r="I186" t="s">
        <v>29</v>
      </c>
      <c r="K186" t="s">
        <v>30</v>
      </c>
      <c r="L186" t="s">
        <v>40</v>
      </c>
      <c r="M186">
        <v>36.999999998</v>
      </c>
      <c r="N186">
        <v>0</v>
      </c>
      <c r="O186">
        <v>-3.33500000015</v>
      </c>
      <c r="P186">
        <v>0</v>
      </c>
      <c r="Q186">
        <v>0</v>
      </c>
      <c r="R186">
        <v>33.664999998500001</v>
      </c>
      <c r="S186" t="s">
        <v>110</v>
      </c>
      <c r="T186" t="s">
        <v>107</v>
      </c>
      <c r="U186">
        <v>10001013</v>
      </c>
      <c r="Y186" t="s">
        <v>142</v>
      </c>
      <c r="AC186" t="s">
        <v>143</v>
      </c>
    </row>
    <row r="187" spans="1:29" x14ac:dyDescent="0.45">
      <c r="A187" t="s">
        <v>26</v>
      </c>
      <c r="B187">
        <v>151440346</v>
      </c>
      <c r="C187">
        <v>10000064</v>
      </c>
      <c r="D187" t="s">
        <v>27</v>
      </c>
      <c r="E187" t="s">
        <v>28</v>
      </c>
      <c r="F187">
        <v>346072</v>
      </c>
      <c r="G187">
        <v>5556452722</v>
      </c>
      <c r="H187">
        <v>24022468</v>
      </c>
      <c r="I187" t="s">
        <v>29</v>
      </c>
      <c r="K187" t="s">
        <v>30</v>
      </c>
      <c r="L187" t="s">
        <v>42</v>
      </c>
      <c r="M187">
        <v>36.999999998</v>
      </c>
      <c r="N187">
        <v>0</v>
      </c>
      <c r="O187">
        <v>0</v>
      </c>
      <c r="P187">
        <v>0</v>
      </c>
      <c r="Q187">
        <v>0</v>
      </c>
      <c r="R187">
        <v>36.999999998</v>
      </c>
      <c r="S187" t="s">
        <v>115</v>
      </c>
      <c r="T187" t="s">
        <v>111</v>
      </c>
      <c r="U187">
        <v>10000064</v>
      </c>
      <c r="Y187" t="s">
        <v>142</v>
      </c>
      <c r="AC187" t="s">
        <v>143</v>
      </c>
    </row>
    <row r="188" spans="1:29" x14ac:dyDescent="0.45">
      <c r="A188" t="s">
        <v>26</v>
      </c>
      <c r="B188">
        <v>151440349</v>
      </c>
      <c r="C188">
        <v>10001013</v>
      </c>
      <c r="D188" t="s">
        <v>27</v>
      </c>
      <c r="E188" t="s">
        <v>28</v>
      </c>
      <c r="F188">
        <v>348467</v>
      </c>
      <c r="G188">
        <v>5576022147</v>
      </c>
      <c r="H188">
        <v>24022634</v>
      </c>
      <c r="I188" t="s">
        <v>29</v>
      </c>
      <c r="K188" t="s">
        <v>30</v>
      </c>
      <c r="L188" t="s">
        <v>40</v>
      </c>
      <c r="M188">
        <v>36.999999998</v>
      </c>
      <c r="N188">
        <v>0</v>
      </c>
      <c r="O188">
        <v>9.9999999969999998</v>
      </c>
      <c r="P188">
        <v>0</v>
      </c>
      <c r="Q188">
        <v>0</v>
      </c>
      <c r="R188">
        <v>47.000000001499998</v>
      </c>
      <c r="S188" t="s">
        <v>110</v>
      </c>
      <c r="T188" t="s">
        <v>107</v>
      </c>
      <c r="U188">
        <v>10001013</v>
      </c>
      <c r="Y188" t="s">
        <v>142</v>
      </c>
      <c r="AC188" t="s">
        <v>143</v>
      </c>
    </row>
    <row r="189" spans="1:29" x14ac:dyDescent="0.45">
      <c r="A189" t="s">
        <v>26</v>
      </c>
      <c r="B189">
        <v>151440354</v>
      </c>
      <c r="C189">
        <v>10000064</v>
      </c>
      <c r="D189" t="s">
        <v>27</v>
      </c>
      <c r="E189" t="s">
        <v>28</v>
      </c>
      <c r="F189">
        <v>346072</v>
      </c>
      <c r="G189">
        <v>5521567091</v>
      </c>
      <c r="H189">
        <v>24023004</v>
      </c>
      <c r="I189" t="s">
        <v>29</v>
      </c>
      <c r="K189" t="s">
        <v>30</v>
      </c>
      <c r="L189" t="s">
        <v>39</v>
      </c>
      <c r="M189">
        <v>36.999999998</v>
      </c>
      <c r="N189">
        <v>0</v>
      </c>
      <c r="O189">
        <v>0</v>
      </c>
      <c r="P189">
        <v>0</v>
      </c>
      <c r="Q189">
        <v>0</v>
      </c>
      <c r="R189">
        <v>36.999999998</v>
      </c>
      <c r="S189" t="s">
        <v>110</v>
      </c>
      <c r="T189" t="s">
        <v>111</v>
      </c>
      <c r="U189">
        <v>10000064</v>
      </c>
      <c r="Y189" t="s">
        <v>142</v>
      </c>
      <c r="AC189" t="s">
        <v>143</v>
      </c>
    </row>
    <row r="190" spans="1:29" x14ac:dyDescent="0.45">
      <c r="A190" t="s">
        <v>26</v>
      </c>
      <c r="B190">
        <v>151440375</v>
      </c>
      <c r="C190">
        <v>10001013</v>
      </c>
      <c r="D190" t="s">
        <v>27</v>
      </c>
      <c r="E190" t="s">
        <v>28</v>
      </c>
      <c r="F190">
        <v>348467</v>
      </c>
      <c r="G190">
        <v>5556184940</v>
      </c>
      <c r="H190">
        <v>24022834</v>
      </c>
      <c r="I190" t="s">
        <v>29</v>
      </c>
      <c r="K190" t="s">
        <v>30</v>
      </c>
      <c r="L190" t="s">
        <v>42</v>
      </c>
      <c r="M190">
        <v>36.999999998</v>
      </c>
      <c r="N190">
        <v>0</v>
      </c>
      <c r="O190">
        <v>0</v>
      </c>
      <c r="P190">
        <v>0</v>
      </c>
      <c r="Q190">
        <v>0</v>
      </c>
      <c r="R190">
        <v>36.999999998</v>
      </c>
      <c r="S190" t="s">
        <v>115</v>
      </c>
      <c r="T190" t="s">
        <v>111</v>
      </c>
      <c r="U190">
        <v>10001013</v>
      </c>
      <c r="Y190" t="s">
        <v>142</v>
      </c>
      <c r="AC190" t="s">
        <v>143</v>
      </c>
    </row>
    <row r="191" spans="1:29" x14ac:dyDescent="0.45">
      <c r="A191" t="s">
        <v>26</v>
      </c>
      <c r="B191">
        <v>151440766</v>
      </c>
      <c r="C191">
        <v>10000064</v>
      </c>
      <c r="D191" t="s">
        <v>27</v>
      </c>
      <c r="E191" t="s">
        <v>28</v>
      </c>
      <c r="F191">
        <v>346072</v>
      </c>
      <c r="G191">
        <v>5556760187</v>
      </c>
      <c r="H191">
        <v>24030661</v>
      </c>
      <c r="I191" t="s">
        <v>29</v>
      </c>
      <c r="K191" t="s">
        <v>30</v>
      </c>
      <c r="L191" t="s">
        <v>42</v>
      </c>
      <c r="M191">
        <v>36.999999998</v>
      </c>
      <c r="N191">
        <v>0</v>
      </c>
      <c r="O191">
        <v>0</v>
      </c>
      <c r="P191">
        <v>0</v>
      </c>
      <c r="Q191">
        <v>0</v>
      </c>
      <c r="R191">
        <v>36.999999998</v>
      </c>
      <c r="S191" t="s">
        <v>115</v>
      </c>
      <c r="T191" t="s">
        <v>111</v>
      </c>
      <c r="U191">
        <v>10000064</v>
      </c>
      <c r="Y191" t="s">
        <v>142</v>
      </c>
      <c r="AC191" t="s">
        <v>143</v>
      </c>
    </row>
    <row r="192" spans="1:29" x14ac:dyDescent="0.45">
      <c r="A192" t="s">
        <v>26</v>
      </c>
      <c r="B192">
        <v>151440807</v>
      </c>
      <c r="C192">
        <v>10000064</v>
      </c>
      <c r="D192" t="s">
        <v>27</v>
      </c>
      <c r="E192" t="s">
        <v>28</v>
      </c>
      <c r="F192">
        <v>348485</v>
      </c>
      <c r="G192">
        <v>5521571022</v>
      </c>
      <c r="H192">
        <v>24030778</v>
      </c>
      <c r="I192" t="s">
        <v>29</v>
      </c>
      <c r="K192" t="s">
        <v>30</v>
      </c>
      <c r="L192" t="s">
        <v>42</v>
      </c>
      <c r="M192">
        <v>36.999999998</v>
      </c>
      <c r="N192">
        <v>0</v>
      </c>
      <c r="O192">
        <v>-3.33500000015</v>
      </c>
      <c r="P192">
        <v>0</v>
      </c>
      <c r="Q192">
        <v>0</v>
      </c>
      <c r="R192">
        <v>33.664999998500001</v>
      </c>
      <c r="S192" t="s">
        <v>115</v>
      </c>
      <c r="T192" t="s">
        <v>107</v>
      </c>
      <c r="U192">
        <v>10000064</v>
      </c>
      <c r="Y192" t="s">
        <v>142</v>
      </c>
      <c r="AC192" t="s">
        <v>143</v>
      </c>
    </row>
    <row r="193" spans="1:29" x14ac:dyDescent="0.45">
      <c r="A193" t="s">
        <v>26</v>
      </c>
      <c r="B193">
        <v>151443758</v>
      </c>
      <c r="C193">
        <v>10000064</v>
      </c>
      <c r="D193" t="s">
        <v>27</v>
      </c>
      <c r="E193" t="s">
        <v>28</v>
      </c>
      <c r="F193">
        <v>346072</v>
      </c>
      <c r="G193">
        <v>5516757059</v>
      </c>
      <c r="H193">
        <v>24075269</v>
      </c>
      <c r="I193" t="s">
        <v>29</v>
      </c>
      <c r="K193" t="s">
        <v>30</v>
      </c>
      <c r="L193" t="s">
        <v>36</v>
      </c>
      <c r="M193">
        <v>36.999999998</v>
      </c>
      <c r="N193">
        <v>0</v>
      </c>
      <c r="O193">
        <v>0</v>
      </c>
      <c r="P193">
        <v>0</v>
      </c>
      <c r="Q193">
        <v>0</v>
      </c>
      <c r="R193">
        <v>36.999999998</v>
      </c>
      <c r="S193" t="s">
        <v>115</v>
      </c>
      <c r="T193" t="s">
        <v>111</v>
      </c>
      <c r="U193">
        <v>10000064</v>
      </c>
      <c r="Y193" t="s">
        <v>142</v>
      </c>
      <c r="AC193" t="s">
        <v>143</v>
      </c>
    </row>
    <row r="194" spans="1:29" x14ac:dyDescent="0.45">
      <c r="A194" t="s">
        <v>26</v>
      </c>
      <c r="B194">
        <v>151410686</v>
      </c>
      <c r="C194">
        <v>10000064</v>
      </c>
      <c r="D194" t="s">
        <v>27</v>
      </c>
      <c r="E194" t="s">
        <v>28</v>
      </c>
      <c r="F194">
        <v>346072</v>
      </c>
      <c r="G194">
        <v>5552456331</v>
      </c>
      <c r="H194">
        <v>23382543</v>
      </c>
      <c r="I194" t="s">
        <v>29</v>
      </c>
      <c r="K194" t="s">
        <v>30</v>
      </c>
      <c r="L194" t="s">
        <v>55</v>
      </c>
      <c r="M194">
        <v>36.999999998</v>
      </c>
      <c r="N194">
        <v>0</v>
      </c>
      <c r="O194">
        <v>-3.33500000015</v>
      </c>
      <c r="P194">
        <v>0</v>
      </c>
      <c r="Q194">
        <v>0</v>
      </c>
      <c r="R194">
        <v>33.664999998500001</v>
      </c>
      <c r="S194" t="s">
        <v>115</v>
      </c>
      <c r="T194" t="s">
        <v>107</v>
      </c>
      <c r="U194">
        <v>10000064</v>
      </c>
      <c r="Y194" t="s">
        <v>142</v>
      </c>
      <c r="AC194" t="s">
        <v>143</v>
      </c>
    </row>
    <row r="195" spans="1:29" x14ac:dyDescent="0.45">
      <c r="A195" t="s">
        <v>26</v>
      </c>
      <c r="B195">
        <v>5726560</v>
      </c>
      <c r="C195">
        <v>10000064</v>
      </c>
      <c r="D195" t="s">
        <v>27</v>
      </c>
      <c r="E195" t="s">
        <v>28</v>
      </c>
      <c r="F195">
        <v>346072</v>
      </c>
      <c r="G195">
        <v>6646463041</v>
      </c>
      <c r="H195">
        <v>31414235</v>
      </c>
      <c r="I195" t="s">
        <v>29</v>
      </c>
      <c r="K195" t="s">
        <v>84</v>
      </c>
      <c r="L195" t="s">
        <v>85</v>
      </c>
      <c r="M195">
        <v>36.999999998</v>
      </c>
      <c r="N195">
        <v>0</v>
      </c>
      <c r="O195">
        <v>0</v>
      </c>
      <c r="P195">
        <v>0</v>
      </c>
      <c r="Q195">
        <v>0</v>
      </c>
      <c r="R195">
        <v>36.999999998</v>
      </c>
      <c r="S195" t="s">
        <v>110</v>
      </c>
      <c r="T195" t="s">
        <v>111</v>
      </c>
      <c r="U195">
        <v>10000064</v>
      </c>
      <c r="Y195" t="s">
        <v>142</v>
      </c>
      <c r="AC195" t="s">
        <v>143</v>
      </c>
    </row>
    <row r="196" spans="1:29" x14ac:dyDescent="0.45">
      <c r="A196" t="s">
        <v>26</v>
      </c>
      <c r="B196">
        <v>151355829</v>
      </c>
      <c r="C196">
        <v>10001013</v>
      </c>
      <c r="D196" t="s">
        <v>27</v>
      </c>
      <c r="E196" t="s">
        <v>28</v>
      </c>
      <c r="F196">
        <v>348467</v>
      </c>
      <c r="G196">
        <v>5556458483</v>
      </c>
      <c r="H196">
        <v>22417743</v>
      </c>
      <c r="I196" t="s">
        <v>29</v>
      </c>
      <c r="K196" t="s">
        <v>30</v>
      </c>
      <c r="L196" t="s">
        <v>42</v>
      </c>
      <c r="M196">
        <v>36.999999998</v>
      </c>
      <c r="N196">
        <v>0</v>
      </c>
      <c r="O196">
        <v>0</v>
      </c>
      <c r="P196">
        <v>0</v>
      </c>
      <c r="Q196">
        <v>0</v>
      </c>
      <c r="R196">
        <v>36.999999998</v>
      </c>
      <c r="S196" t="s">
        <v>110</v>
      </c>
      <c r="T196" t="s">
        <v>111</v>
      </c>
      <c r="U196">
        <v>10001013</v>
      </c>
      <c r="Y196" t="s">
        <v>142</v>
      </c>
      <c r="AC196" t="s">
        <v>143</v>
      </c>
    </row>
    <row r="197" spans="1:29" x14ac:dyDescent="0.45">
      <c r="A197" t="s">
        <v>26</v>
      </c>
      <c r="B197">
        <v>151358405</v>
      </c>
      <c r="C197">
        <v>10001013</v>
      </c>
      <c r="D197" t="s">
        <v>27</v>
      </c>
      <c r="E197" t="s">
        <v>28</v>
      </c>
      <c r="F197">
        <v>345495</v>
      </c>
      <c r="G197">
        <v>5558621152</v>
      </c>
      <c r="H197">
        <v>22437453</v>
      </c>
      <c r="I197" t="s">
        <v>29</v>
      </c>
      <c r="K197" t="s">
        <v>30</v>
      </c>
      <c r="L197" t="s">
        <v>39</v>
      </c>
      <c r="M197">
        <v>36.999999998</v>
      </c>
      <c r="N197">
        <v>0</v>
      </c>
      <c r="O197">
        <v>9.9999999969999998</v>
      </c>
      <c r="P197">
        <v>0</v>
      </c>
      <c r="Q197">
        <v>0</v>
      </c>
      <c r="R197">
        <v>47.000000001499998</v>
      </c>
      <c r="S197" t="s">
        <v>110</v>
      </c>
      <c r="T197" t="s">
        <v>107</v>
      </c>
      <c r="U197">
        <v>10001013</v>
      </c>
      <c r="Y197" t="s">
        <v>142</v>
      </c>
      <c r="AC197" t="s">
        <v>143</v>
      </c>
    </row>
    <row r="198" spans="1:29" x14ac:dyDescent="0.45">
      <c r="A198" t="s">
        <v>26</v>
      </c>
      <c r="B198">
        <v>151394823</v>
      </c>
      <c r="C198">
        <v>10000064</v>
      </c>
      <c r="D198" t="s">
        <v>27</v>
      </c>
      <c r="E198" t="s">
        <v>28</v>
      </c>
      <c r="F198">
        <v>348485</v>
      </c>
      <c r="G198">
        <v>5521565210</v>
      </c>
      <c r="H198">
        <v>23350105</v>
      </c>
      <c r="I198" t="s">
        <v>29</v>
      </c>
      <c r="K198" t="s">
        <v>30</v>
      </c>
      <c r="L198" t="s">
        <v>40</v>
      </c>
      <c r="M198">
        <v>36.999999998</v>
      </c>
      <c r="N198">
        <v>0</v>
      </c>
      <c r="O198">
        <v>0</v>
      </c>
      <c r="P198">
        <v>0</v>
      </c>
      <c r="Q198">
        <v>0</v>
      </c>
      <c r="R198">
        <v>36.999999998</v>
      </c>
      <c r="S198" t="s">
        <v>110</v>
      </c>
      <c r="T198" t="s">
        <v>111</v>
      </c>
      <c r="U198">
        <v>10000064</v>
      </c>
      <c r="Y198" t="s">
        <v>142</v>
      </c>
      <c r="AC198" t="s">
        <v>143</v>
      </c>
    </row>
    <row r="199" spans="1:29" x14ac:dyDescent="0.45">
      <c r="A199" t="s">
        <v>26</v>
      </c>
      <c r="B199">
        <v>151399011</v>
      </c>
      <c r="C199">
        <v>10001013</v>
      </c>
      <c r="D199" t="s">
        <v>27</v>
      </c>
      <c r="E199" t="s">
        <v>28</v>
      </c>
      <c r="F199">
        <v>350677</v>
      </c>
      <c r="G199">
        <v>5596367938</v>
      </c>
      <c r="H199">
        <v>22953598</v>
      </c>
      <c r="I199" t="s">
        <v>29</v>
      </c>
      <c r="K199" t="s">
        <v>30</v>
      </c>
      <c r="L199" t="s">
        <v>40</v>
      </c>
      <c r="M199">
        <v>36.999999998</v>
      </c>
      <c r="N199">
        <v>0</v>
      </c>
      <c r="O199">
        <v>-3.33500000015</v>
      </c>
      <c r="P199">
        <v>0</v>
      </c>
      <c r="Q199">
        <v>0</v>
      </c>
      <c r="R199">
        <v>33.664999998500001</v>
      </c>
      <c r="S199" t="s">
        <v>110</v>
      </c>
      <c r="T199" t="s">
        <v>107</v>
      </c>
      <c r="U199">
        <v>10001013</v>
      </c>
      <c r="Y199" t="s">
        <v>142</v>
      </c>
      <c r="AC199" t="s">
        <v>143</v>
      </c>
    </row>
    <row r="200" spans="1:29" x14ac:dyDescent="0.45">
      <c r="A200" t="s">
        <v>26</v>
      </c>
      <c r="B200">
        <v>151399114</v>
      </c>
      <c r="C200">
        <v>10000064</v>
      </c>
      <c r="D200" t="s">
        <v>27</v>
      </c>
      <c r="E200" t="s">
        <v>28</v>
      </c>
      <c r="F200">
        <v>351037</v>
      </c>
      <c r="G200">
        <v>5511137309</v>
      </c>
      <c r="H200">
        <v>22954058</v>
      </c>
      <c r="I200" t="s">
        <v>29</v>
      </c>
      <c r="K200" t="s">
        <v>30</v>
      </c>
      <c r="L200" t="s">
        <v>42</v>
      </c>
      <c r="M200">
        <v>36.999999998</v>
      </c>
      <c r="N200">
        <v>0</v>
      </c>
      <c r="O200">
        <v>0</v>
      </c>
      <c r="P200">
        <v>0</v>
      </c>
      <c r="Q200">
        <v>0</v>
      </c>
      <c r="R200">
        <v>36.999999998</v>
      </c>
      <c r="S200" t="s">
        <v>115</v>
      </c>
      <c r="T200" t="s">
        <v>111</v>
      </c>
      <c r="U200">
        <v>10000064</v>
      </c>
      <c r="Y200" t="s">
        <v>142</v>
      </c>
      <c r="AC200" t="s">
        <v>143</v>
      </c>
    </row>
    <row r="201" spans="1:29" x14ac:dyDescent="0.45">
      <c r="A201" t="s">
        <v>26</v>
      </c>
      <c r="B201">
        <v>151401720</v>
      </c>
      <c r="C201">
        <v>10000064</v>
      </c>
      <c r="D201" t="s">
        <v>27</v>
      </c>
      <c r="E201" t="s">
        <v>28</v>
      </c>
      <c r="F201">
        <v>351040</v>
      </c>
      <c r="G201">
        <v>5526157909</v>
      </c>
      <c r="H201">
        <v>22996125</v>
      </c>
      <c r="I201" t="s">
        <v>29</v>
      </c>
      <c r="K201" t="s">
        <v>30</v>
      </c>
      <c r="L201" t="s">
        <v>42</v>
      </c>
      <c r="M201">
        <v>36.999999998</v>
      </c>
      <c r="N201">
        <v>0</v>
      </c>
      <c r="O201">
        <v>-3.33500000015</v>
      </c>
      <c r="P201">
        <v>0</v>
      </c>
      <c r="Q201">
        <v>0</v>
      </c>
      <c r="R201">
        <v>33.664999998500001</v>
      </c>
      <c r="S201" t="s">
        <v>115</v>
      </c>
      <c r="T201" t="s">
        <v>107</v>
      </c>
      <c r="U201">
        <v>10000064</v>
      </c>
      <c r="Y201" t="s">
        <v>142</v>
      </c>
      <c r="AC201" t="s">
        <v>143</v>
      </c>
    </row>
    <row r="202" spans="1:29" x14ac:dyDescent="0.45">
      <c r="A202" t="s">
        <v>26</v>
      </c>
      <c r="B202">
        <v>151409762</v>
      </c>
      <c r="C202">
        <v>10001013</v>
      </c>
      <c r="D202" t="s">
        <v>27</v>
      </c>
      <c r="E202" t="s">
        <v>28</v>
      </c>
      <c r="F202">
        <v>351030</v>
      </c>
      <c r="G202">
        <v>5552445074</v>
      </c>
      <c r="H202">
        <v>23378822</v>
      </c>
      <c r="I202" t="s">
        <v>29</v>
      </c>
      <c r="K202" t="s">
        <v>30</v>
      </c>
      <c r="L202" t="s">
        <v>55</v>
      </c>
      <c r="M202">
        <v>36.999999998</v>
      </c>
      <c r="N202">
        <v>0</v>
      </c>
      <c r="O202">
        <v>-3.33500000015</v>
      </c>
      <c r="P202">
        <v>0</v>
      </c>
      <c r="Q202">
        <v>0</v>
      </c>
      <c r="R202">
        <v>33.664999998500001</v>
      </c>
      <c r="S202" t="s">
        <v>110</v>
      </c>
      <c r="T202" t="s">
        <v>107</v>
      </c>
      <c r="U202">
        <v>10001013</v>
      </c>
      <c r="Y202" t="s">
        <v>142</v>
      </c>
      <c r="AC202" t="s">
        <v>143</v>
      </c>
    </row>
    <row r="203" spans="1:29" x14ac:dyDescent="0.45">
      <c r="A203" t="s">
        <v>26</v>
      </c>
      <c r="B203">
        <v>151409781</v>
      </c>
      <c r="C203">
        <v>10000064</v>
      </c>
      <c r="D203" t="s">
        <v>27</v>
      </c>
      <c r="E203" t="s">
        <v>28</v>
      </c>
      <c r="F203">
        <v>348485</v>
      </c>
      <c r="G203">
        <v>5591808238</v>
      </c>
      <c r="H203">
        <v>23336253</v>
      </c>
      <c r="I203" t="s">
        <v>29</v>
      </c>
      <c r="K203" t="s">
        <v>30</v>
      </c>
      <c r="L203" t="s">
        <v>42</v>
      </c>
      <c r="M203">
        <v>36.999999998</v>
      </c>
      <c r="N203">
        <v>0</v>
      </c>
      <c r="O203">
        <v>-3.33500000015</v>
      </c>
      <c r="P203">
        <v>0</v>
      </c>
      <c r="Q203">
        <v>0</v>
      </c>
      <c r="R203">
        <v>33.664999998500001</v>
      </c>
      <c r="S203" t="s">
        <v>115</v>
      </c>
      <c r="T203" t="s">
        <v>107</v>
      </c>
      <c r="U203">
        <v>10000064</v>
      </c>
      <c r="Y203" t="s">
        <v>142</v>
      </c>
      <c r="AC203" t="s">
        <v>143</v>
      </c>
    </row>
    <row r="204" spans="1:29" x14ac:dyDescent="0.45">
      <c r="A204" t="s">
        <v>26</v>
      </c>
      <c r="B204">
        <v>151409785</v>
      </c>
      <c r="C204">
        <v>10001013</v>
      </c>
      <c r="D204" t="s">
        <v>27</v>
      </c>
      <c r="E204" t="s">
        <v>28</v>
      </c>
      <c r="F204">
        <v>351715</v>
      </c>
      <c r="G204">
        <v>5521565309</v>
      </c>
      <c r="H204">
        <v>23332352</v>
      </c>
      <c r="I204" t="s">
        <v>29</v>
      </c>
      <c r="K204" t="s">
        <v>30</v>
      </c>
      <c r="L204" t="s">
        <v>42</v>
      </c>
      <c r="M204">
        <v>36.999999998</v>
      </c>
      <c r="N204">
        <v>0</v>
      </c>
      <c r="O204">
        <v>-3.33500000015</v>
      </c>
      <c r="P204">
        <v>0</v>
      </c>
      <c r="Q204">
        <v>0</v>
      </c>
      <c r="R204">
        <v>33.664999998500001</v>
      </c>
      <c r="S204" t="s">
        <v>114</v>
      </c>
      <c r="T204" t="s">
        <v>107</v>
      </c>
      <c r="U204">
        <v>10001013</v>
      </c>
      <c r="Y204" t="s">
        <v>142</v>
      </c>
      <c r="AC204" t="s">
        <v>143</v>
      </c>
    </row>
    <row r="205" spans="1:29" x14ac:dyDescent="0.45">
      <c r="A205" t="s">
        <v>26</v>
      </c>
      <c r="B205">
        <v>151443794</v>
      </c>
      <c r="C205">
        <v>10000064</v>
      </c>
      <c r="D205" t="s">
        <v>27</v>
      </c>
      <c r="E205" t="s">
        <v>28</v>
      </c>
      <c r="F205">
        <v>348485</v>
      </c>
      <c r="G205">
        <v>5558106532</v>
      </c>
      <c r="H205">
        <v>24066388</v>
      </c>
      <c r="I205" t="s">
        <v>29</v>
      </c>
      <c r="K205" t="s">
        <v>30</v>
      </c>
      <c r="L205" t="s">
        <v>36</v>
      </c>
      <c r="M205">
        <v>36.999999998</v>
      </c>
      <c r="N205">
        <v>0</v>
      </c>
      <c r="O205">
        <v>0</v>
      </c>
      <c r="P205">
        <v>0</v>
      </c>
      <c r="Q205">
        <v>0</v>
      </c>
      <c r="R205">
        <v>36.999999998</v>
      </c>
      <c r="S205" t="s">
        <v>115</v>
      </c>
      <c r="T205" t="s">
        <v>111</v>
      </c>
      <c r="U205">
        <v>10000064</v>
      </c>
      <c r="Y205" t="s">
        <v>142</v>
      </c>
      <c r="AC205" t="s">
        <v>143</v>
      </c>
    </row>
    <row r="206" spans="1:29" x14ac:dyDescent="0.45">
      <c r="A206" t="s">
        <v>26</v>
      </c>
      <c r="B206">
        <v>151410942</v>
      </c>
      <c r="C206">
        <v>10000064</v>
      </c>
      <c r="D206" t="s">
        <v>27</v>
      </c>
      <c r="E206" t="s">
        <v>28</v>
      </c>
      <c r="F206">
        <v>346072</v>
      </c>
      <c r="G206">
        <v>5555499685</v>
      </c>
      <c r="H206">
        <v>23376830</v>
      </c>
      <c r="I206" t="s">
        <v>29</v>
      </c>
      <c r="K206" t="s">
        <v>30</v>
      </c>
      <c r="L206" t="s">
        <v>42</v>
      </c>
      <c r="M206">
        <v>36.999999998</v>
      </c>
      <c r="N206">
        <v>0</v>
      </c>
      <c r="O206">
        <v>0</v>
      </c>
      <c r="P206">
        <v>0</v>
      </c>
      <c r="Q206">
        <v>0</v>
      </c>
      <c r="R206">
        <v>36.999999998</v>
      </c>
      <c r="S206" t="s">
        <v>117</v>
      </c>
      <c r="T206" t="s">
        <v>111</v>
      </c>
      <c r="U206">
        <v>10000064</v>
      </c>
      <c r="Y206" t="s">
        <v>142</v>
      </c>
      <c r="AC206" t="s">
        <v>143</v>
      </c>
    </row>
    <row r="207" spans="1:29" x14ac:dyDescent="0.45">
      <c r="A207" t="s">
        <v>26</v>
      </c>
      <c r="B207">
        <v>151413164</v>
      </c>
      <c r="C207">
        <v>10000064</v>
      </c>
      <c r="D207" t="s">
        <v>27</v>
      </c>
      <c r="E207" t="s">
        <v>28</v>
      </c>
      <c r="F207">
        <v>352529</v>
      </c>
      <c r="G207">
        <v>5595608513</v>
      </c>
      <c r="H207">
        <v>23437284</v>
      </c>
      <c r="I207" t="s">
        <v>29</v>
      </c>
      <c r="K207" t="s">
        <v>30</v>
      </c>
      <c r="L207" t="s">
        <v>40</v>
      </c>
      <c r="M207">
        <v>36.999999998</v>
      </c>
      <c r="N207">
        <v>0</v>
      </c>
      <c r="O207">
        <v>-3.33500000015</v>
      </c>
      <c r="P207">
        <v>0</v>
      </c>
      <c r="Q207">
        <v>0</v>
      </c>
      <c r="R207">
        <v>33.664999998500001</v>
      </c>
      <c r="S207" t="s">
        <v>118</v>
      </c>
      <c r="T207" t="s">
        <v>107</v>
      </c>
      <c r="U207">
        <v>10000064</v>
      </c>
      <c r="Y207" t="s">
        <v>142</v>
      </c>
      <c r="AC207" t="s">
        <v>143</v>
      </c>
    </row>
    <row r="208" spans="1:29" x14ac:dyDescent="0.45">
      <c r="A208" t="s">
        <v>26</v>
      </c>
      <c r="B208">
        <v>151417029</v>
      </c>
      <c r="C208">
        <v>10001013</v>
      </c>
      <c r="D208" t="s">
        <v>27</v>
      </c>
      <c r="E208" t="s">
        <v>28</v>
      </c>
      <c r="F208">
        <v>345495</v>
      </c>
      <c r="G208">
        <v>5558107022</v>
      </c>
      <c r="H208">
        <v>23802224</v>
      </c>
      <c r="I208" t="s">
        <v>29</v>
      </c>
      <c r="K208" t="s">
        <v>30</v>
      </c>
      <c r="L208" t="s">
        <v>40</v>
      </c>
      <c r="M208">
        <v>36.999999998</v>
      </c>
      <c r="N208">
        <v>0</v>
      </c>
      <c r="O208">
        <v>-3.33500000015</v>
      </c>
      <c r="P208">
        <v>0</v>
      </c>
      <c r="Q208">
        <v>0</v>
      </c>
      <c r="R208">
        <v>33.664999998500001</v>
      </c>
      <c r="S208" t="s">
        <v>110</v>
      </c>
      <c r="T208" t="s">
        <v>107</v>
      </c>
      <c r="U208">
        <v>10001013</v>
      </c>
      <c r="Y208" t="s">
        <v>142</v>
      </c>
      <c r="AC208" t="s">
        <v>143</v>
      </c>
    </row>
    <row r="209" spans="1:29" x14ac:dyDescent="0.45">
      <c r="A209" t="s">
        <v>26</v>
      </c>
      <c r="B209">
        <v>151419851</v>
      </c>
      <c r="C209">
        <v>10000064</v>
      </c>
      <c r="D209" t="s">
        <v>27</v>
      </c>
      <c r="E209" t="s">
        <v>28</v>
      </c>
      <c r="F209">
        <v>348485</v>
      </c>
      <c r="G209">
        <v>5558415444</v>
      </c>
      <c r="H209">
        <v>23788517</v>
      </c>
      <c r="I209" t="s">
        <v>29</v>
      </c>
      <c r="K209" t="s">
        <v>30</v>
      </c>
      <c r="L209" t="s">
        <v>39</v>
      </c>
      <c r="M209">
        <v>36.999999998</v>
      </c>
      <c r="N209">
        <v>0</v>
      </c>
      <c r="O209">
        <v>0</v>
      </c>
      <c r="P209">
        <v>0</v>
      </c>
      <c r="Q209">
        <v>0</v>
      </c>
      <c r="R209">
        <v>36.999999998</v>
      </c>
      <c r="S209" t="s">
        <v>115</v>
      </c>
      <c r="T209" t="s">
        <v>111</v>
      </c>
      <c r="U209">
        <v>10000064</v>
      </c>
      <c r="Y209" t="s">
        <v>142</v>
      </c>
      <c r="AC209" t="s">
        <v>143</v>
      </c>
    </row>
    <row r="210" spans="1:29" x14ac:dyDescent="0.45">
      <c r="A210" t="s">
        <v>26</v>
      </c>
      <c r="B210">
        <v>151419967</v>
      </c>
      <c r="C210">
        <v>10000064</v>
      </c>
      <c r="D210" t="s">
        <v>27</v>
      </c>
      <c r="E210" t="s">
        <v>28</v>
      </c>
      <c r="F210">
        <v>348485</v>
      </c>
      <c r="G210">
        <v>5558416979</v>
      </c>
      <c r="H210">
        <v>23788939</v>
      </c>
      <c r="I210" t="s">
        <v>29</v>
      </c>
      <c r="K210" t="s">
        <v>30</v>
      </c>
      <c r="L210" t="s">
        <v>39</v>
      </c>
      <c r="M210">
        <v>36.999999998</v>
      </c>
      <c r="N210">
        <v>0</v>
      </c>
      <c r="O210">
        <v>-3.33500000015</v>
      </c>
      <c r="P210">
        <v>0</v>
      </c>
      <c r="Q210">
        <v>0</v>
      </c>
      <c r="R210">
        <v>33.664999998500001</v>
      </c>
      <c r="S210" t="s">
        <v>115</v>
      </c>
      <c r="T210" t="s">
        <v>107</v>
      </c>
      <c r="U210">
        <v>10000064</v>
      </c>
      <c r="Y210" t="s">
        <v>142</v>
      </c>
      <c r="AC210" t="s">
        <v>143</v>
      </c>
    </row>
    <row r="211" spans="1:29" x14ac:dyDescent="0.45">
      <c r="A211" t="s">
        <v>26</v>
      </c>
      <c r="B211">
        <v>151509485</v>
      </c>
      <c r="C211">
        <v>10000064</v>
      </c>
      <c r="D211" t="s">
        <v>27</v>
      </c>
      <c r="E211" t="s">
        <v>28</v>
      </c>
      <c r="F211">
        <v>352529</v>
      </c>
      <c r="G211">
        <v>5524605235</v>
      </c>
      <c r="H211">
        <v>25152467</v>
      </c>
      <c r="I211" t="s">
        <v>29</v>
      </c>
      <c r="K211" t="s">
        <v>30</v>
      </c>
      <c r="L211" t="s">
        <v>42</v>
      </c>
      <c r="M211">
        <v>187.000000005</v>
      </c>
      <c r="N211">
        <v>0</v>
      </c>
      <c r="O211">
        <v>0</v>
      </c>
      <c r="P211">
        <v>0</v>
      </c>
      <c r="Q211">
        <v>0</v>
      </c>
      <c r="R211">
        <v>187.000000005</v>
      </c>
      <c r="S211" t="s">
        <v>115</v>
      </c>
      <c r="T211" t="s">
        <v>38</v>
      </c>
      <c r="U211">
        <v>10000064</v>
      </c>
      <c r="Y211" t="s">
        <v>142</v>
      </c>
      <c r="AC211" t="s">
        <v>143</v>
      </c>
    </row>
    <row r="212" spans="1:29" x14ac:dyDescent="0.45">
      <c r="A212" t="s">
        <v>26</v>
      </c>
      <c r="B212">
        <v>151509562</v>
      </c>
      <c r="C212">
        <v>10000064</v>
      </c>
      <c r="D212" t="s">
        <v>27</v>
      </c>
      <c r="E212" t="s">
        <v>28</v>
      </c>
      <c r="F212">
        <v>352529</v>
      </c>
      <c r="G212">
        <v>5591351982</v>
      </c>
      <c r="H212">
        <v>25161429</v>
      </c>
      <c r="I212" t="s">
        <v>29</v>
      </c>
      <c r="K212" t="s">
        <v>30</v>
      </c>
      <c r="L212" t="s">
        <v>42</v>
      </c>
      <c r="M212">
        <v>187.000000005</v>
      </c>
      <c r="N212">
        <v>0</v>
      </c>
      <c r="O212">
        <v>0</v>
      </c>
      <c r="P212">
        <v>0</v>
      </c>
      <c r="Q212">
        <v>0</v>
      </c>
      <c r="R212">
        <v>187.000000005</v>
      </c>
      <c r="S212" t="s">
        <v>110</v>
      </c>
      <c r="T212" t="s">
        <v>38</v>
      </c>
      <c r="U212">
        <v>10000064</v>
      </c>
      <c r="Y212" t="s">
        <v>142</v>
      </c>
      <c r="AC212" t="s">
        <v>143</v>
      </c>
    </row>
    <row r="213" spans="1:29" x14ac:dyDescent="0.45">
      <c r="A213" t="s">
        <v>26</v>
      </c>
      <c r="B213">
        <v>151509589</v>
      </c>
      <c r="C213">
        <v>10000064</v>
      </c>
      <c r="D213" t="s">
        <v>27</v>
      </c>
      <c r="E213" t="s">
        <v>28</v>
      </c>
      <c r="F213">
        <v>348485</v>
      </c>
      <c r="G213">
        <v>5553746566</v>
      </c>
      <c r="H213">
        <v>25152492</v>
      </c>
      <c r="I213" t="s">
        <v>29</v>
      </c>
      <c r="K213" t="s">
        <v>30</v>
      </c>
      <c r="L213" t="s">
        <v>42</v>
      </c>
      <c r="M213">
        <v>187.000000005</v>
      </c>
      <c r="N213">
        <v>0</v>
      </c>
      <c r="O213">
        <v>0</v>
      </c>
      <c r="P213">
        <v>0</v>
      </c>
      <c r="Q213">
        <v>0</v>
      </c>
      <c r="R213">
        <v>187.000000005</v>
      </c>
      <c r="S213" t="s">
        <v>115</v>
      </c>
      <c r="T213" t="s">
        <v>38</v>
      </c>
      <c r="U213">
        <v>10000064</v>
      </c>
      <c r="Y213" t="s">
        <v>142</v>
      </c>
      <c r="AC213" t="s">
        <v>143</v>
      </c>
    </row>
    <row r="214" spans="1:29" x14ac:dyDescent="0.45">
      <c r="A214" t="s">
        <v>26</v>
      </c>
      <c r="B214">
        <v>151509618</v>
      </c>
      <c r="C214">
        <v>10000064</v>
      </c>
      <c r="D214" t="s">
        <v>27</v>
      </c>
      <c r="E214" t="s">
        <v>28</v>
      </c>
      <c r="F214">
        <v>348485</v>
      </c>
      <c r="G214">
        <v>5558557267</v>
      </c>
      <c r="H214">
        <v>25160946</v>
      </c>
      <c r="I214" t="s">
        <v>29</v>
      </c>
      <c r="K214" t="s">
        <v>30</v>
      </c>
      <c r="L214" t="s">
        <v>62</v>
      </c>
      <c r="M214">
        <v>187.000000005</v>
      </c>
      <c r="N214">
        <v>0</v>
      </c>
      <c r="O214">
        <v>0</v>
      </c>
      <c r="P214">
        <v>0</v>
      </c>
      <c r="Q214">
        <v>0</v>
      </c>
      <c r="R214">
        <v>187.000000005</v>
      </c>
      <c r="S214" t="s">
        <v>115</v>
      </c>
      <c r="T214" t="s">
        <v>38</v>
      </c>
      <c r="U214">
        <v>10000064</v>
      </c>
      <c r="Y214" t="s">
        <v>142</v>
      </c>
      <c r="AC214" t="s">
        <v>143</v>
      </c>
    </row>
    <row r="215" spans="1:29" x14ac:dyDescent="0.45">
      <c r="A215" t="s">
        <v>26</v>
      </c>
      <c r="B215">
        <v>151509658</v>
      </c>
      <c r="C215">
        <v>10000064</v>
      </c>
      <c r="D215" t="s">
        <v>27</v>
      </c>
      <c r="E215" t="s">
        <v>28</v>
      </c>
      <c r="F215">
        <v>348485</v>
      </c>
      <c r="G215">
        <v>5553746530</v>
      </c>
      <c r="H215">
        <v>25152448</v>
      </c>
      <c r="I215" t="s">
        <v>29</v>
      </c>
      <c r="K215" t="s">
        <v>30</v>
      </c>
      <c r="L215" t="s">
        <v>42</v>
      </c>
      <c r="M215">
        <v>187.000000005</v>
      </c>
      <c r="N215">
        <v>0</v>
      </c>
      <c r="O215">
        <v>0</v>
      </c>
      <c r="P215">
        <v>0</v>
      </c>
      <c r="Q215">
        <v>0</v>
      </c>
      <c r="R215">
        <v>187.000000005</v>
      </c>
      <c r="S215" t="s">
        <v>110</v>
      </c>
      <c r="T215" t="s">
        <v>38</v>
      </c>
      <c r="U215">
        <v>10000064</v>
      </c>
      <c r="Y215" t="s">
        <v>142</v>
      </c>
      <c r="AC215" t="s">
        <v>143</v>
      </c>
    </row>
    <row r="216" spans="1:29" x14ac:dyDescent="0.45">
      <c r="A216" t="s">
        <v>26</v>
      </c>
      <c r="B216">
        <v>151498119</v>
      </c>
      <c r="C216">
        <v>10001013</v>
      </c>
      <c r="D216" t="s">
        <v>27</v>
      </c>
      <c r="E216" t="s">
        <v>28</v>
      </c>
      <c r="F216">
        <v>353923</v>
      </c>
      <c r="G216">
        <v>5558660924</v>
      </c>
      <c r="H216">
        <v>25067369</v>
      </c>
      <c r="I216" t="s">
        <v>29</v>
      </c>
      <c r="K216" t="s">
        <v>30</v>
      </c>
      <c r="L216" t="s">
        <v>39</v>
      </c>
      <c r="M216">
        <v>187.000000005</v>
      </c>
      <c r="N216">
        <v>0</v>
      </c>
      <c r="O216">
        <v>0</v>
      </c>
      <c r="P216">
        <v>0</v>
      </c>
      <c r="Q216">
        <v>0</v>
      </c>
      <c r="R216">
        <v>187.000000005</v>
      </c>
      <c r="S216" t="s">
        <v>110</v>
      </c>
      <c r="T216" t="s">
        <v>38</v>
      </c>
      <c r="U216">
        <v>10001013</v>
      </c>
      <c r="Y216" t="s">
        <v>142</v>
      </c>
      <c r="AC216" t="s">
        <v>143</v>
      </c>
    </row>
    <row r="217" spans="1:29" x14ac:dyDescent="0.45">
      <c r="A217" t="s">
        <v>26</v>
      </c>
      <c r="B217">
        <v>151465956</v>
      </c>
      <c r="C217">
        <v>10001013</v>
      </c>
      <c r="D217" t="s">
        <v>27</v>
      </c>
      <c r="E217" t="s">
        <v>28</v>
      </c>
      <c r="F217">
        <v>353923</v>
      </c>
      <c r="G217">
        <v>5552738346</v>
      </c>
      <c r="H217">
        <v>24542164</v>
      </c>
      <c r="I217" t="s">
        <v>29</v>
      </c>
      <c r="K217" t="s">
        <v>30</v>
      </c>
      <c r="L217" t="s">
        <v>40</v>
      </c>
      <c r="M217">
        <v>36.999999998</v>
      </c>
      <c r="N217">
        <v>0</v>
      </c>
      <c r="O217">
        <v>0</v>
      </c>
      <c r="P217">
        <v>0</v>
      </c>
      <c r="Q217">
        <v>0</v>
      </c>
      <c r="R217">
        <v>36.999999998</v>
      </c>
      <c r="S217" t="s">
        <v>110</v>
      </c>
      <c r="T217" t="s">
        <v>111</v>
      </c>
      <c r="U217">
        <v>10001013</v>
      </c>
      <c r="Y217" t="s">
        <v>142</v>
      </c>
      <c r="AC217" t="s">
        <v>143</v>
      </c>
    </row>
    <row r="218" spans="1:29" x14ac:dyDescent="0.45">
      <c r="A218" t="s">
        <v>26</v>
      </c>
      <c r="B218">
        <v>151467648</v>
      </c>
      <c r="C218">
        <v>10001013</v>
      </c>
      <c r="D218" t="s">
        <v>27</v>
      </c>
      <c r="E218" t="s">
        <v>28</v>
      </c>
      <c r="F218">
        <v>353923</v>
      </c>
      <c r="G218">
        <v>5552737294</v>
      </c>
      <c r="H218">
        <v>24493680</v>
      </c>
      <c r="I218" t="s">
        <v>29</v>
      </c>
      <c r="K218" t="s">
        <v>30</v>
      </c>
      <c r="L218" t="s">
        <v>40</v>
      </c>
      <c r="M218">
        <v>36.999999998</v>
      </c>
      <c r="N218">
        <v>0</v>
      </c>
      <c r="O218">
        <v>85.000000020000002</v>
      </c>
      <c r="P218">
        <v>0</v>
      </c>
      <c r="Q218">
        <v>0</v>
      </c>
      <c r="R218">
        <v>122.000000005</v>
      </c>
      <c r="S218" t="s">
        <v>110</v>
      </c>
      <c r="T218" t="s">
        <v>119</v>
      </c>
      <c r="U218">
        <v>10001013</v>
      </c>
      <c r="Y218" t="s">
        <v>142</v>
      </c>
      <c r="AC218" t="s">
        <v>143</v>
      </c>
    </row>
    <row r="219" spans="1:29" x14ac:dyDescent="0.45">
      <c r="A219" t="s">
        <v>26</v>
      </c>
      <c r="B219">
        <v>151472537</v>
      </c>
      <c r="C219">
        <v>10000064</v>
      </c>
      <c r="D219" t="s">
        <v>27</v>
      </c>
      <c r="E219" t="s">
        <v>28</v>
      </c>
      <c r="F219">
        <v>346072</v>
      </c>
      <c r="G219">
        <v>5523457529</v>
      </c>
      <c r="H219">
        <v>24648061</v>
      </c>
      <c r="I219" t="s">
        <v>29</v>
      </c>
      <c r="K219" t="s">
        <v>30</v>
      </c>
      <c r="L219" t="s">
        <v>40</v>
      </c>
      <c r="M219">
        <v>36.999999998</v>
      </c>
      <c r="N219">
        <v>0</v>
      </c>
      <c r="O219">
        <v>0</v>
      </c>
      <c r="P219">
        <v>0</v>
      </c>
      <c r="Q219">
        <v>0</v>
      </c>
      <c r="R219">
        <v>36.999999998</v>
      </c>
      <c r="S219" t="s">
        <v>110</v>
      </c>
      <c r="T219" t="s">
        <v>111</v>
      </c>
      <c r="U219">
        <v>10000064</v>
      </c>
      <c r="Y219" t="s">
        <v>142</v>
      </c>
      <c r="AC219" t="s">
        <v>143</v>
      </c>
    </row>
    <row r="220" spans="1:29" x14ac:dyDescent="0.45">
      <c r="A220" t="s">
        <v>26</v>
      </c>
      <c r="B220">
        <v>151473856</v>
      </c>
      <c r="C220">
        <v>10000064</v>
      </c>
      <c r="D220" t="s">
        <v>27</v>
      </c>
      <c r="E220" t="s">
        <v>28</v>
      </c>
      <c r="F220">
        <v>346072</v>
      </c>
      <c r="G220">
        <v>5592882662</v>
      </c>
      <c r="H220">
        <v>24548366</v>
      </c>
      <c r="I220" t="s">
        <v>29</v>
      </c>
      <c r="K220" t="s">
        <v>30</v>
      </c>
      <c r="L220" t="s">
        <v>40</v>
      </c>
      <c r="M220">
        <v>36.999999998</v>
      </c>
      <c r="N220">
        <v>0</v>
      </c>
      <c r="O220">
        <v>0</v>
      </c>
      <c r="P220">
        <v>0</v>
      </c>
      <c r="Q220">
        <v>0</v>
      </c>
      <c r="R220">
        <v>36.999999998</v>
      </c>
      <c r="S220" t="s">
        <v>110</v>
      </c>
      <c r="T220" t="s">
        <v>111</v>
      </c>
      <c r="U220">
        <v>10000064</v>
      </c>
      <c r="Y220" t="s">
        <v>142</v>
      </c>
      <c r="AC220" t="s">
        <v>143</v>
      </c>
    </row>
    <row r="221" spans="1:29" x14ac:dyDescent="0.45">
      <c r="A221" t="s">
        <v>26</v>
      </c>
      <c r="B221">
        <v>151477226</v>
      </c>
      <c r="C221">
        <v>10001013</v>
      </c>
      <c r="D221" t="s">
        <v>27</v>
      </c>
      <c r="E221" t="s">
        <v>28</v>
      </c>
      <c r="F221">
        <v>348467</v>
      </c>
      <c r="G221">
        <v>5516759304</v>
      </c>
      <c r="H221">
        <v>24675410</v>
      </c>
      <c r="I221" t="s">
        <v>29</v>
      </c>
      <c r="K221" t="s">
        <v>30</v>
      </c>
      <c r="L221" t="s">
        <v>47</v>
      </c>
      <c r="M221">
        <v>36.999999998</v>
      </c>
      <c r="N221">
        <v>0</v>
      </c>
      <c r="O221">
        <v>0</v>
      </c>
      <c r="P221">
        <v>0</v>
      </c>
      <c r="Q221">
        <v>0</v>
      </c>
      <c r="R221">
        <v>36.999999998</v>
      </c>
      <c r="S221" t="s">
        <v>110</v>
      </c>
      <c r="T221" t="s">
        <v>111</v>
      </c>
      <c r="U221">
        <v>10001013</v>
      </c>
      <c r="Y221" t="s">
        <v>142</v>
      </c>
      <c r="AC221" t="s">
        <v>143</v>
      </c>
    </row>
    <row r="222" spans="1:29" x14ac:dyDescent="0.45">
      <c r="A222" t="s">
        <v>26</v>
      </c>
      <c r="B222">
        <v>151477245</v>
      </c>
      <c r="C222">
        <v>10000064</v>
      </c>
      <c r="D222" t="s">
        <v>27</v>
      </c>
      <c r="E222" t="s">
        <v>28</v>
      </c>
      <c r="F222">
        <v>346072</v>
      </c>
      <c r="G222">
        <v>5555556377</v>
      </c>
      <c r="H222">
        <v>24648164</v>
      </c>
      <c r="I222" t="s">
        <v>29</v>
      </c>
      <c r="K222" t="s">
        <v>30</v>
      </c>
      <c r="L222" t="s">
        <v>40</v>
      </c>
      <c r="M222">
        <v>36.999999998</v>
      </c>
      <c r="N222">
        <v>0</v>
      </c>
      <c r="O222">
        <v>0</v>
      </c>
      <c r="P222">
        <v>0</v>
      </c>
      <c r="Q222">
        <v>0</v>
      </c>
      <c r="R222">
        <v>36.999999998</v>
      </c>
      <c r="S222" t="s">
        <v>110</v>
      </c>
      <c r="T222" t="s">
        <v>111</v>
      </c>
      <c r="U222">
        <v>10000064</v>
      </c>
      <c r="Y222" t="s">
        <v>142</v>
      </c>
      <c r="AC222" t="s">
        <v>143</v>
      </c>
    </row>
    <row r="223" spans="1:29" x14ac:dyDescent="0.45">
      <c r="A223" t="s">
        <v>26</v>
      </c>
      <c r="B223">
        <v>151477273</v>
      </c>
      <c r="C223">
        <v>10000064</v>
      </c>
      <c r="D223" t="s">
        <v>27</v>
      </c>
      <c r="E223" t="s">
        <v>28</v>
      </c>
      <c r="F223">
        <v>348485</v>
      </c>
      <c r="G223">
        <v>5526504934</v>
      </c>
      <c r="H223">
        <v>24597686</v>
      </c>
      <c r="I223" t="s">
        <v>29</v>
      </c>
      <c r="K223" t="s">
        <v>30</v>
      </c>
      <c r="L223" t="s">
        <v>31</v>
      </c>
      <c r="M223">
        <v>36.999999998</v>
      </c>
      <c r="N223">
        <v>0</v>
      </c>
      <c r="O223">
        <v>0</v>
      </c>
      <c r="P223">
        <v>0</v>
      </c>
      <c r="Q223">
        <v>0</v>
      </c>
      <c r="R223">
        <v>36.999999998</v>
      </c>
      <c r="S223" t="s">
        <v>110</v>
      </c>
      <c r="T223" t="s">
        <v>111</v>
      </c>
      <c r="U223">
        <v>10000064</v>
      </c>
      <c r="Y223" t="s">
        <v>142</v>
      </c>
      <c r="AC223" t="s">
        <v>143</v>
      </c>
    </row>
    <row r="224" spans="1:29" x14ac:dyDescent="0.45">
      <c r="A224" t="s">
        <v>26</v>
      </c>
      <c r="B224">
        <v>151479237</v>
      </c>
      <c r="C224">
        <v>10000064</v>
      </c>
      <c r="D224" t="s">
        <v>27</v>
      </c>
      <c r="E224" t="s">
        <v>28</v>
      </c>
      <c r="F224">
        <v>346072</v>
      </c>
      <c r="G224">
        <v>5513341399</v>
      </c>
      <c r="H224">
        <v>24675427</v>
      </c>
      <c r="I224" t="s">
        <v>29</v>
      </c>
      <c r="K224" t="s">
        <v>30</v>
      </c>
      <c r="L224" t="s">
        <v>40</v>
      </c>
      <c r="M224">
        <v>36.999999998</v>
      </c>
      <c r="N224">
        <v>0</v>
      </c>
      <c r="O224">
        <v>0</v>
      </c>
      <c r="P224">
        <v>0</v>
      </c>
      <c r="Q224">
        <v>0</v>
      </c>
      <c r="R224">
        <v>36.999999998</v>
      </c>
      <c r="S224" t="s">
        <v>114</v>
      </c>
      <c r="T224" t="s">
        <v>111</v>
      </c>
      <c r="U224">
        <v>10000064</v>
      </c>
      <c r="Y224" t="s">
        <v>142</v>
      </c>
      <c r="AC224" t="s">
        <v>143</v>
      </c>
    </row>
    <row r="225" spans="1:29" x14ac:dyDescent="0.45">
      <c r="A225" t="s">
        <v>26</v>
      </c>
      <c r="B225">
        <v>151479665</v>
      </c>
      <c r="C225">
        <v>10000064</v>
      </c>
      <c r="D225" t="s">
        <v>27</v>
      </c>
      <c r="E225" t="s">
        <v>28</v>
      </c>
      <c r="F225">
        <v>346072</v>
      </c>
      <c r="G225">
        <v>5513341428</v>
      </c>
      <c r="H225">
        <v>24675446</v>
      </c>
      <c r="I225" t="s">
        <v>29</v>
      </c>
      <c r="K225" t="s">
        <v>30</v>
      </c>
      <c r="L225" t="s">
        <v>47</v>
      </c>
      <c r="M225">
        <v>36.999999998</v>
      </c>
      <c r="N225">
        <v>0</v>
      </c>
      <c r="O225">
        <v>0</v>
      </c>
      <c r="P225">
        <v>0</v>
      </c>
      <c r="Q225">
        <v>0</v>
      </c>
      <c r="R225">
        <v>36.999999998</v>
      </c>
      <c r="S225" t="s">
        <v>110</v>
      </c>
      <c r="T225" t="s">
        <v>111</v>
      </c>
      <c r="U225">
        <v>10000064</v>
      </c>
      <c r="Y225" t="s">
        <v>142</v>
      </c>
      <c r="AC225" t="s">
        <v>143</v>
      </c>
    </row>
    <row r="226" spans="1:29" x14ac:dyDescent="0.45">
      <c r="A226" t="s">
        <v>26</v>
      </c>
      <c r="B226">
        <v>151480988</v>
      </c>
      <c r="C226">
        <v>10001013</v>
      </c>
      <c r="D226" t="s">
        <v>27</v>
      </c>
      <c r="E226" t="s">
        <v>28</v>
      </c>
      <c r="F226">
        <v>353923</v>
      </c>
      <c r="G226">
        <v>5557682379</v>
      </c>
      <c r="H226">
        <v>24705433</v>
      </c>
      <c r="I226" t="s">
        <v>29</v>
      </c>
      <c r="K226" t="s">
        <v>30</v>
      </c>
      <c r="L226" t="s">
        <v>55</v>
      </c>
      <c r="M226">
        <v>36.999999998</v>
      </c>
      <c r="N226">
        <v>0</v>
      </c>
      <c r="O226">
        <v>0</v>
      </c>
      <c r="P226">
        <v>0</v>
      </c>
      <c r="Q226">
        <v>0</v>
      </c>
      <c r="R226">
        <v>36.999999998</v>
      </c>
      <c r="S226" t="s">
        <v>110</v>
      </c>
      <c r="T226" t="s">
        <v>111</v>
      </c>
      <c r="U226">
        <v>10001013</v>
      </c>
      <c r="Y226" t="s">
        <v>142</v>
      </c>
      <c r="AC226" t="s">
        <v>143</v>
      </c>
    </row>
    <row r="227" spans="1:29" x14ac:dyDescent="0.45">
      <c r="A227" t="s">
        <v>26</v>
      </c>
      <c r="B227">
        <v>151465766</v>
      </c>
      <c r="C227">
        <v>10000064</v>
      </c>
      <c r="D227" t="s">
        <v>27</v>
      </c>
      <c r="E227" t="s">
        <v>28</v>
      </c>
      <c r="F227">
        <v>346072</v>
      </c>
      <c r="G227">
        <v>5552738001</v>
      </c>
      <c r="H227">
        <v>24494036</v>
      </c>
      <c r="I227" t="s">
        <v>29</v>
      </c>
      <c r="K227" t="s">
        <v>30</v>
      </c>
      <c r="L227" t="s">
        <v>40</v>
      </c>
      <c r="M227">
        <v>36.999999998</v>
      </c>
      <c r="N227">
        <v>0</v>
      </c>
      <c r="O227">
        <v>85.000000020000002</v>
      </c>
      <c r="P227">
        <v>0</v>
      </c>
      <c r="Q227">
        <v>0</v>
      </c>
      <c r="R227">
        <v>122.000000005</v>
      </c>
      <c r="S227" t="s">
        <v>110</v>
      </c>
      <c r="T227" t="s">
        <v>119</v>
      </c>
      <c r="U227">
        <v>10000064</v>
      </c>
      <c r="Y227" t="s">
        <v>142</v>
      </c>
      <c r="AC227" t="s">
        <v>143</v>
      </c>
    </row>
    <row r="228" spans="1:29" x14ac:dyDescent="0.45">
      <c r="A228" t="s">
        <v>26</v>
      </c>
      <c r="B228">
        <v>151498147</v>
      </c>
      <c r="C228">
        <v>10001013</v>
      </c>
      <c r="D228" t="s">
        <v>27</v>
      </c>
      <c r="E228" t="s">
        <v>28</v>
      </c>
      <c r="F228">
        <v>353923</v>
      </c>
      <c r="G228">
        <v>5557531464</v>
      </c>
      <c r="H228">
        <v>25089804</v>
      </c>
      <c r="I228" t="s">
        <v>29</v>
      </c>
      <c r="K228" t="s">
        <v>30</v>
      </c>
      <c r="L228" t="s">
        <v>101</v>
      </c>
      <c r="M228">
        <v>187.000000005</v>
      </c>
      <c r="N228">
        <v>0</v>
      </c>
      <c r="O228">
        <v>0</v>
      </c>
      <c r="P228">
        <v>0</v>
      </c>
      <c r="Q228">
        <v>0</v>
      </c>
      <c r="R228">
        <v>187.000000005</v>
      </c>
      <c r="S228" t="s">
        <v>110</v>
      </c>
      <c r="T228" t="s">
        <v>38</v>
      </c>
      <c r="U228">
        <v>10001013</v>
      </c>
      <c r="Y228" t="s">
        <v>142</v>
      </c>
      <c r="AC228" t="s">
        <v>143</v>
      </c>
    </row>
    <row r="229" spans="1:29" x14ac:dyDescent="0.45">
      <c r="A229" t="s">
        <v>26</v>
      </c>
      <c r="B229">
        <v>151499972</v>
      </c>
      <c r="C229">
        <v>10000064</v>
      </c>
      <c r="D229" t="s">
        <v>27</v>
      </c>
      <c r="E229" t="s">
        <v>28</v>
      </c>
      <c r="F229">
        <v>348485</v>
      </c>
      <c r="G229">
        <v>5597579781</v>
      </c>
      <c r="H229">
        <v>25028260</v>
      </c>
      <c r="I229" t="s">
        <v>29</v>
      </c>
      <c r="M229">
        <v>187.000000005</v>
      </c>
      <c r="N229">
        <v>0</v>
      </c>
      <c r="O229">
        <v>0</v>
      </c>
      <c r="P229">
        <v>0</v>
      </c>
      <c r="Q229">
        <v>0</v>
      </c>
      <c r="R229">
        <v>187.000000005</v>
      </c>
      <c r="S229" t="s">
        <v>110</v>
      </c>
      <c r="T229" t="s">
        <v>38</v>
      </c>
      <c r="U229">
        <v>10000064</v>
      </c>
      <c r="Y229" t="s">
        <v>142</v>
      </c>
      <c r="AC229" t="s">
        <v>143</v>
      </c>
    </row>
    <row r="230" spans="1:29" x14ac:dyDescent="0.45">
      <c r="A230" t="s">
        <v>26</v>
      </c>
      <c r="B230">
        <v>151500819</v>
      </c>
      <c r="C230">
        <v>10000064</v>
      </c>
      <c r="D230" t="s">
        <v>27</v>
      </c>
      <c r="E230" t="s">
        <v>28</v>
      </c>
      <c r="F230">
        <v>352529</v>
      </c>
      <c r="G230">
        <v>5511851982</v>
      </c>
      <c r="H230">
        <v>25134907</v>
      </c>
      <c r="I230" t="s">
        <v>29</v>
      </c>
      <c r="K230" t="s">
        <v>30</v>
      </c>
      <c r="L230" t="s">
        <v>36</v>
      </c>
      <c r="M230">
        <v>187.000000005</v>
      </c>
      <c r="N230">
        <v>0</v>
      </c>
      <c r="O230">
        <v>0</v>
      </c>
      <c r="P230">
        <v>0</v>
      </c>
      <c r="Q230">
        <v>0</v>
      </c>
      <c r="R230">
        <v>187.000000005</v>
      </c>
      <c r="S230" t="s">
        <v>110</v>
      </c>
      <c r="T230" t="s">
        <v>38</v>
      </c>
      <c r="U230">
        <v>10000064</v>
      </c>
      <c r="Y230" t="s">
        <v>142</v>
      </c>
      <c r="AC230" t="s">
        <v>143</v>
      </c>
    </row>
    <row r="231" spans="1:29" x14ac:dyDescent="0.45">
      <c r="A231" t="s">
        <v>26</v>
      </c>
      <c r="B231">
        <v>151501478</v>
      </c>
      <c r="C231">
        <v>10000064</v>
      </c>
      <c r="D231" t="s">
        <v>27</v>
      </c>
      <c r="E231" t="s">
        <v>28</v>
      </c>
      <c r="F231">
        <v>352529</v>
      </c>
      <c r="G231">
        <v>5555557325</v>
      </c>
      <c r="H231">
        <v>25047514</v>
      </c>
      <c r="I231" t="s">
        <v>29</v>
      </c>
      <c r="K231" t="s">
        <v>30</v>
      </c>
      <c r="L231" t="s">
        <v>42</v>
      </c>
      <c r="M231">
        <v>187.000000005</v>
      </c>
      <c r="N231">
        <v>0</v>
      </c>
      <c r="O231">
        <v>0</v>
      </c>
      <c r="P231">
        <v>0</v>
      </c>
      <c r="Q231">
        <v>0</v>
      </c>
      <c r="R231">
        <v>187.000000005</v>
      </c>
      <c r="S231" t="s">
        <v>120</v>
      </c>
      <c r="T231" t="s">
        <v>38</v>
      </c>
      <c r="U231">
        <v>10000064</v>
      </c>
      <c r="Y231" t="s">
        <v>142</v>
      </c>
      <c r="AC231" t="s">
        <v>143</v>
      </c>
    </row>
    <row r="232" spans="1:29" x14ac:dyDescent="0.45">
      <c r="A232" t="s">
        <v>26</v>
      </c>
      <c r="B232">
        <v>151501574</v>
      </c>
      <c r="C232">
        <v>10000064</v>
      </c>
      <c r="D232" t="s">
        <v>27</v>
      </c>
      <c r="E232" t="s">
        <v>28</v>
      </c>
      <c r="F232">
        <v>352529</v>
      </c>
      <c r="G232">
        <v>5524605072</v>
      </c>
      <c r="H232">
        <v>25135115</v>
      </c>
      <c r="I232" t="s">
        <v>29</v>
      </c>
      <c r="K232" t="s">
        <v>30</v>
      </c>
      <c r="L232" t="s">
        <v>42</v>
      </c>
      <c r="M232">
        <v>187.000000005</v>
      </c>
      <c r="N232">
        <v>0</v>
      </c>
      <c r="O232">
        <v>0</v>
      </c>
      <c r="P232">
        <v>0</v>
      </c>
      <c r="Q232">
        <v>0</v>
      </c>
      <c r="R232">
        <v>187.000000005</v>
      </c>
      <c r="S232" t="s">
        <v>110</v>
      </c>
      <c r="T232" t="s">
        <v>38</v>
      </c>
      <c r="U232">
        <v>10000064</v>
      </c>
      <c r="Y232" t="s">
        <v>142</v>
      </c>
      <c r="AC232" t="s">
        <v>143</v>
      </c>
    </row>
    <row r="233" spans="1:29" x14ac:dyDescent="0.45">
      <c r="A233" t="s">
        <v>26</v>
      </c>
      <c r="B233">
        <v>151501625</v>
      </c>
      <c r="C233">
        <v>10000064</v>
      </c>
      <c r="D233" t="s">
        <v>27</v>
      </c>
      <c r="E233" t="s">
        <v>28</v>
      </c>
      <c r="F233">
        <v>352529</v>
      </c>
      <c r="G233">
        <v>5555557386</v>
      </c>
      <c r="H233">
        <v>25047591</v>
      </c>
      <c r="I233" t="s">
        <v>29</v>
      </c>
      <c r="K233" t="s">
        <v>30</v>
      </c>
      <c r="L233" t="s">
        <v>42</v>
      </c>
      <c r="M233">
        <v>187.000000005</v>
      </c>
      <c r="N233">
        <v>0</v>
      </c>
      <c r="O233">
        <v>0</v>
      </c>
      <c r="P233">
        <v>0</v>
      </c>
      <c r="Q233">
        <v>0</v>
      </c>
      <c r="R233">
        <v>187.000000005</v>
      </c>
      <c r="S233" t="s">
        <v>115</v>
      </c>
      <c r="T233" t="s">
        <v>38</v>
      </c>
      <c r="U233">
        <v>10000064</v>
      </c>
      <c r="Y233" t="s">
        <v>142</v>
      </c>
      <c r="AC233" t="s">
        <v>143</v>
      </c>
    </row>
    <row r="234" spans="1:29" x14ac:dyDescent="0.45">
      <c r="A234" t="s">
        <v>26</v>
      </c>
      <c r="B234">
        <v>151503589</v>
      </c>
      <c r="C234">
        <v>10000064</v>
      </c>
      <c r="D234" t="s">
        <v>27</v>
      </c>
      <c r="E234" t="s">
        <v>28</v>
      </c>
      <c r="F234">
        <v>348485</v>
      </c>
      <c r="G234">
        <v>5555557194</v>
      </c>
      <c r="H234">
        <v>25179654</v>
      </c>
      <c r="I234" t="s">
        <v>29</v>
      </c>
      <c r="K234" t="s">
        <v>30</v>
      </c>
      <c r="L234" t="s">
        <v>42</v>
      </c>
      <c r="M234">
        <v>187.000000005</v>
      </c>
      <c r="N234">
        <v>0</v>
      </c>
      <c r="O234">
        <v>0</v>
      </c>
      <c r="P234">
        <v>0</v>
      </c>
      <c r="Q234">
        <v>0</v>
      </c>
      <c r="R234">
        <v>187.000000005</v>
      </c>
      <c r="S234" t="s">
        <v>110</v>
      </c>
      <c r="T234" t="s">
        <v>38</v>
      </c>
      <c r="U234">
        <v>10000064</v>
      </c>
      <c r="Y234" t="s">
        <v>142</v>
      </c>
      <c r="AC234" t="s">
        <v>143</v>
      </c>
    </row>
    <row r="235" spans="1:29" x14ac:dyDescent="0.45">
      <c r="A235" t="s">
        <v>26</v>
      </c>
      <c r="B235">
        <v>151505747</v>
      </c>
      <c r="C235">
        <v>10001013</v>
      </c>
      <c r="D235" t="s">
        <v>27</v>
      </c>
      <c r="E235" t="s">
        <v>28</v>
      </c>
      <c r="F235">
        <v>353923</v>
      </c>
      <c r="G235">
        <v>5596368059</v>
      </c>
      <c r="H235">
        <v>25094449</v>
      </c>
      <c r="I235" t="s">
        <v>29</v>
      </c>
      <c r="K235" t="s">
        <v>30</v>
      </c>
      <c r="L235" t="s">
        <v>101</v>
      </c>
      <c r="M235">
        <v>187.000000005</v>
      </c>
      <c r="N235">
        <v>0</v>
      </c>
      <c r="O235">
        <v>0</v>
      </c>
      <c r="P235">
        <v>0</v>
      </c>
      <c r="Q235">
        <v>0</v>
      </c>
      <c r="R235">
        <v>187.000000005</v>
      </c>
      <c r="S235" t="s">
        <v>110</v>
      </c>
      <c r="T235" t="s">
        <v>38</v>
      </c>
      <c r="U235">
        <v>10001013</v>
      </c>
      <c r="Y235" t="s">
        <v>142</v>
      </c>
      <c r="AC235" t="s">
        <v>143</v>
      </c>
    </row>
    <row r="236" spans="1:29" x14ac:dyDescent="0.45">
      <c r="A236" t="s">
        <v>26</v>
      </c>
      <c r="B236">
        <v>151505801</v>
      </c>
      <c r="C236">
        <v>10001013</v>
      </c>
      <c r="D236" t="s">
        <v>27</v>
      </c>
      <c r="E236" t="s">
        <v>28</v>
      </c>
      <c r="F236">
        <v>353923</v>
      </c>
      <c r="G236">
        <v>5559497917</v>
      </c>
      <c r="H236">
        <v>25097040</v>
      </c>
      <c r="I236" t="s">
        <v>29</v>
      </c>
      <c r="K236" t="s">
        <v>30</v>
      </c>
      <c r="L236" t="s">
        <v>62</v>
      </c>
      <c r="M236">
        <v>187.000000005</v>
      </c>
      <c r="N236">
        <v>0</v>
      </c>
      <c r="O236">
        <v>0</v>
      </c>
      <c r="P236">
        <v>0</v>
      </c>
      <c r="Q236">
        <v>0</v>
      </c>
      <c r="R236">
        <v>187.000000005</v>
      </c>
      <c r="S236" t="s">
        <v>120</v>
      </c>
      <c r="T236" t="s">
        <v>38</v>
      </c>
      <c r="U236">
        <v>10001013</v>
      </c>
      <c r="Y236" t="s">
        <v>142</v>
      </c>
      <c r="AC236" t="s">
        <v>143</v>
      </c>
    </row>
    <row r="237" spans="1:29" x14ac:dyDescent="0.45">
      <c r="A237" t="s">
        <v>26</v>
      </c>
      <c r="B237">
        <v>151507513</v>
      </c>
      <c r="C237">
        <v>10000064</v>
      </c>
      <c r="D237" t="s">
        <v>27</v>
      </c>
      <c r="E237" t="s">
        <v>28</v>
      </c>
      <c r="F237">
        <v>352529</v>
      </c>
      <c r="G237">
        <v>5557536983</v>
      </c>
      <c r="H237">
        <v>25179715</v>
      </c>
      <c r="I237" t="s">
        <v>29</v>
      </c>
      <c r="K237" t="s">
        <v>30</v>
      </c>
      <c r="L237" t="s">
        <v>101</v>
      </c>
      <c r="M237">
        <v>187.000000005</v>
      </c>
      <c r="N237">
        <v>0</v>
      </c>
      <c r="O237">
        <v>0</v>
      </c>
      <c r="P237">
        <v>0</v>
      </c>
      <c r="Q237">
        <v>0</v>
      </c>
      <c r="R237">
        <v>187.000000005</v>
      </c>
      <c r="S237" t="s">
        <v>110</v>
      </c>
      <c r="T237" t="s">
        <v>38</v>
      </c>
      <c r="U237">
        <v>10000064</v>
      </c>
      <c r="Y237" t="s">
        <v>142</v>
      </c>
      <c r="AC237" t="s">
        <v>143</v>
      </c>
    </row>
    <row r="238" spans="1:29" x14ac:dyDescent="0.45">
      <c r="A238" t="s">
        <v>26</v>
      </c>
      <c r="B238">
        <v>151460687</v>
      </c>
      <c r="C238">
        <v>10000064</v>
      </c>
      <c r="D238" t="s">
        <v>27</v>
      </c>
      <c r="E238" t="s">
        <v>28</v>
      </c>
      <c r="F238">
        <v>348485</v>
      </c>
      <c r="G238">
        <v>5526505112</v>
      </c>
      <c r="H238">
        <v>24298269</v>
      </c>
      <c r="I238" t="s">
        <v>29</v>
      </c>
      <c r="K238" t="s">
        <v>30</v>
      </c>
      <c r="L238" t="s">
        <v>31</v>
      </c>
      <c r="M238">
        <v>36.999999998</v>
      </c>
      <c r="N238">
        <v>0</v>
      </c>
      <c r="O238">
        <v>9.9999999969999998</v>
      </c>
      <c r="P238">
        <v>0</v>
      </c>
      <c r="Q238">
        <v>0</v>
      </c>
      <c r="R238">
        <v>47.000000001499998</v>
      </c>
      <c r="S238" t="s">
        <v>115</v>
      </c>
      <c r="T238" t="s">
        <v>107</v>
      </c>
      <c r="U238">
        <v>10000064</v>
      </c>
      <c r="Y238" t="s">
        <v>142</v>
      </c>
      <c r="AC238" t="s">
        <v>143</v>
      </c>
    </row>
    <row r="239" spans="1:29" x14ac:dyDescent="0.45">
      <c r="A239" t="s">
        <v>26</v>
      </c>
      <c r="B239">
        <v>151443822</v>
      </c>
      <c r="C239">
        <v>10001013</v>
      </c>
      <c r="D239" t="s">
        <v>27</v>
      </c>
      <c r="E239" t="s">
        <v>28</v>
      </c>
      <c r="F239">
        <v>348467</v>
      </c>
      <c r="G239">
        <v>5526504233</v>
      </c>
      <c r="H239">
        <v>24212550</v>
      </c>
      <c r="I239" t="s">
        <v>29</v>
      </c>
      <c r="K239" t="s">
        <v>30</v>
      </c>
      <c r="L239" t="s">
        <v>40</v>
      </c>
      <c r="M239">
        <v>36.999999998</v>
      </c>
      <c r="N239">
        <v>0</v>
      </c>
      <c r="O239">
        <v>0</v>
      </c>
      <c r="P239">
        <v>0</v>
      </c>
      <c r="Q239">
        <v>0</v>
      </c>
      <c r="R239">
        <v>36.999999998</v>
      </c>
      <c r="S239" t="s">
        <v>110</v>
      </c>
      <c r="T239" t="s">
        <v>111</v>
      </c>
      <c r="U239">
        <v>10001013</v>
      </c>
      <c r="Y239" t="s">
        <v>142</v>
      </c>
      <c r="AC239" t="s">
        <v>143</v>
      </c>
    </row>
    <row r="240" spans="1:29" x14ac:dyDescent="0.45">
      <c r="A240" t="s">
        <v>26</v>
      </c>
      <c r="B240">
        <v>151443918</v>
      </c>
      <c r="C240">
        <v>10001013</v>
      </c>
      <c r="D240" t="s">
        <v>27</v>
      </c>
      <c r="E240" t="s">
        <v>28</v>
      </c>
      <c r="F240">
        <v>348467</v>
      </c>
      <c r="G240">
        <v>5515592087</v>
      </c>
      <c r="H240">
        <v>24068820</v>
      </c>
      <c r="I240" t="s">
        <v>29</v>
      </c>
      <c r="K240" t="s">
        <v>30</v>
      </c>
      <c r="L240" t="s">
        <v>36</v>
      </c>
      <c r="M240">
        <v>36.999999998</v>
      </c>
      <c r="N240">
        <v>0</v>
      </c>
      <c r="O240">
        <v>0</v>
      </c>
      <c r="P240">
        <v>0</v>
      </c>
      <c r="Q240">
        <v>0</v>
      </c>
      <c r="R240">
        <v>36.999999998</v>
      </c>
      <c r="S240" t="s">
        <v>114</v>
      </c>
      <c r="T240" t="s">
        <v>111</v>
      </c>
      <c r="U240">
        <v>10001013</v>
      </c>
      <c r="Y240" t="s">
        <v>142</v>
      </c>
      <c r="AC240" t="s">
        <v>143</v>
      </c>
    </row>
    <row r="241" spans="1:29" x14ac:dyDescent="0.45">
      <c r="A241" t="s">
        <v>26</v>
      </c>
      <c r="B241">
        <v>151445871</v>
      </c>
      <c r="C241">
        <v>10001013</v>
      </c>
      <c r="D241" t="s">
        <v>27</v>
      </c>
      <c r="E241" t="s">
        <v>28</v>
      </c>
      <c r="F241">
        <v>348467</v>
      </c>
      <c r="G241">
        <v>5554259354</v>
      </c>
      <c r="H241">
        <v>24135942</v>
      </c>
      <c r="I241" t="s">
        <v>29</v>
      </c>
      <c r="K241" t="s">
        <v>30</v>
      </c>
      <c r="L241" t="s">
        <v>36</v>
      </c>
      <c r="M241">
        <v>36.999999998</v>
      </c>
      <c r="N241">
        <v>0</v>
      </c>
      <c r="O241">
        <v>0</v>
      </c>
      <c r="P241">
        <v>0</v>
      </c>
      <c r="Q241">
        <v>0</v>
      </c>
      <c r="R241">
        <v>36.999999998</v>
      </c>
      <c r="S241" t="s">
        <v>110</v>
      </c>
      <c r="T241" t="s">
        <v>111</v>
      </c>
      <c r="U241">
        <v>10001013</v>
      </c>
      <c r="Y241" t="s">
        <v>142</v>
      </c>
      <c r="AC241" t="s">
        <v>143</v>
      </c>
    </row>
    <row r="242" spans="1:29" x14ac:dyDescent="0.45">
      <c r="A242" t="s">
        <v>26</v>
      </c>
      <c r="B242">
        <v>151445934</v>
      </c>
      <c r="C242">
        <v>10000064</v>
      </c>
      <c r="D242" t="s">
        <v>27</v>
      </c>
      <c r="E242" t="s">
        <v>28</v>
      </c>
      <c r="F242">
        <v>346072</v>
      </c>
      <c r="G242">
        <v>5517186980</v>
      </c>
      <c r="H242">
        <v>24096896</v>
      </c>
      <c r="I242" t="s">
        <v>29</v>
      </c>
      <c r="K242" t="s">
        <v>30</v>
      </c>
      <c r="L242" t="s">
        <v>40</v>
      </c>
      <c r="M242">
        <v>36.999999998</v>
      </c>
      <c r="N242">
        <v>0</v>
      </c>
      <c r="O242">
        <v>0</v>
      </c>
      <c r="P242">
        <v>0</v>
      </c>
      <c r="Q242">
        <v>0</v>
      </c>
      <c r="R242">
        <v>36.999999998</v>
      </c>
      <c r="S242" t="s">
        <v>110</v>
      </c>
      <c r="T242" t="s">
        <v>111</v>
      </c>
      <c r="U242">
        <v>10000064</v>
      </c>
      <c r="Y242" t="s">
        <v>142</v>
      </c>
      <c r="AC242" t="s">
        <v>143</v>
      </c>
    </row>
    <row r="243" spans="1:29" x14ac:dyDescent="0.45">
      <c r="A243" t="s">
        <v>26</v>
      </c>
      <c r="B243">
        <v>151445949</v>
      </c>
      <c r="C243">
        <v>10000064</v>
      </c>
      <c r="D243" t="s">
        <v>27</v>
      </c>
      <c r="E243" t="s">
        <v>28</v>
      </c>
      <c r="F243">
        <v>353921</v>
      </c>
      <c r="G243">
        <v>5556673501</v>
      </c>
      <c r="H243">
        <v>24099246</v>
      </c>
      <c r="I243" t="s">
        <v>29</v>
      </c>
      <c r="K243" t="s">
        <v>30</v>
      </c>
      <c r="L243" t="s">
        <v>36</v>
      </c>
      <c r="M243">
        <v>36.999999998</v>
      </c>
      <c r="N243">
        <v>0</v>
      </c>
      <c r="O243">
        <v>0</v>
      </c>
      <c r="P243">
        <v>0</v>
      </c>
      <c r="Q243">
        <v>0</v>
      </c>
      <c r="R243">
        <v>36.999999998</v>
      </c>
      <c r="S243" t="s">
        <v>110</v>
      </c>
      <c r="T243" t="s">
        <v>111</v>
      </c>
      <c r="U243">
        <v>10000064</v>
      </c>
      <c r="Y243" t="s">
        <v>142</v>
      </c>
      <c r="AC243" t="s">
        <v>143</v>
      </c>
    </row>
    <row r="244" spans="1:29" x14ac:dyDescent="0.45">
      <c r="A244" t="s">
        <v>26</v>
      </c>
      <c r="B244">
        <v>151451990</v>
      </c>
      <c r="C244">
        <v>10001013</v>
      </c>
      <c r="D244" t="s">
        <v>27</v>
      </c>
      <c r="E244" t="s">
        <v>28</v>
      </c>
      <c r="F244">
        <v>348467</v>
      </c>
      <c r="G244">
        <v>5594643293</v>
      </c>
      <c r="H244">
        <v>24193581</v>
      </c>
      <c r="I244" t="s">
        <v>29</v>
      </c>
      <c r="K244" t="s">
        <v>30</v>
      </c>
      <c r="L244" t="s">
        <v>40</v>
      </c>
      <c r="M244">
        <v>36.999999998</v>
      </c>
      <c r="N244">
        <v>0</v>
      </c>
      <c r="O244">
        <v>0</v>
      </c>
      <c r="P244">
        <v>0</v>
      </c>
      <c r="Q244">
        <v>0</v>
      </c>
      <c r="R244">
        <v>36.999999998</v>
      </c>
      <c r="S244" t="s">
        <v>110</v>
      </c>
      <c r="T244" t="s">
        <v>111</v>
      </c>
      <c r="U244">
        <v>10001013</v>
      </c>
      <c r="Y244" t="s">
        <v>142</v>
      </c>
      <c r="AC244" t="s">
        <v>143</v>
      </c>
    </row>
    <row r="245" spans="1:29" x14ac:dyDescent="0.45">
      <c r="A245" t="s">
        <v>26</v>
      </c>
      <c r="B245">
        <v>151456274</v>
      </c>
      <c r="C245">
        <v>10000064</v>
      </c>
      <c r="D245" t="s">
        <v>27</v>
      </c>
      <c r="E245" t="s">
        <v>28</v>
      </c>
      <c r="F245">
        <v>346072</v>
      </c>
      <c r="G245">
        <v>5524665347</v>
      </c>
      <c r="H245">
        <v>24472122</v>
      </c>
      <c r="I245" t="s">
        <v>29</v>
      </c>
      <c r="K245" t="s">
        <v>30</v>
      </c>
      <c r="L245" t="s">
        <v>40</v>
      </c>
      <c r="M245">
        <v>36.999999998</v>
      </c>
      <c r="N245">
        <v>0</v>
      </c>
      <c r="O245">
        <v>0</v>
      </c>
      <c r="P245">
        <v>0</v>
      </c>
      <c r="Q245">
        <v>0</v>
      </c>
      <c r="R245">
        <v>36.999999998</v>
      </c>
      <c r="S245" t="s">
        <v>110</v>
      </c>
      <c r="T245" t="s">
        <v>111</v>
      </c>
      <c r="U245">
        <v>10000064</v>
      </c>
      <c r="Y245" t="s">
        <v>142</v>
      </c>
      <c r="AC245" t="s">
        <v>143</v>
      </c>
    </row>
    <row r="246" spans="1:29" x14ac:dyDescent="0.45">
      <c r="A246" t="s">
        <v>26</v>
      </c>
      <c r="B246">
        <v>151456294</v>
      </c>
      <c r="C246">
        <v>10001013</v>
      </c>
      <c r="D246" t="s">
        <v>27</v>
      </c>
      <c r="E246" t="s">
        <v>28</v>
      </c>
      <c r="F246">
        <v>353923</v>
      </c>
      <c r="G246">
        <v>5581647899</v>
      </c>
      <c r="H246">
        <v>24229396</v>
      </c>
      <c r="I246" t="s">
        <v>29</v>
      </c>
      <c r="K246" t="s">
        <v>30</v>
      </c>
      <c r="L246" t="s">
        <v>45</v>
      </c>
      <c r="M246">
        <v>36.999999998</v>
      </c>
      <c r="N246">
        <v>0</v>
      </c>
      <c r="O246">
        <v>85.000000020000002</v>
      </c>
      <c r="P246">
        <v>0</v>
      </c>
      <c r="Q246">
        <v>0</v>
      </c>
      <c r="R246">
        <v>122.000000005</v>
      </c>
      <c r="S246" t="s">
        <v>110</v>
      </c>
      <c r="T246" t="s">
        <v>119</v>
      </c>
      <c r="U246">
        <v>10001013</v>
      </c>
      <c r="Y246" t="s">
        <v>142</v>
      </c>
      <c r="AC246" t="s">
        <v>143</v>
      </c>
    </row>
    <row r="247" spans="1:29" x14ac:dyDescent="0.45">
      <c r="A247" t="s">
        <v>26</v>
      </c>
      <c r="B247">
        <v>151456324</v>
      </c>
      <c r="C247">
        <v>10000064</v>
      </c>
      <c r="D247" t="s">
        <v>27</v>
      </c>
      <c r="E247" t="s">
        <v>28</v>
      </c>
      <c r="F247">
        <v>346072</v>
      </c>
      <c r="G247">
        <v>5524665378</v>
      </c>
      <c r="H247">
        <v>24472126</v>
      </c>
      <c r="I247" t="s">
        <v>29</v>
      </c>
      <c r="K247" t="s">
        <v>30</v>
      </c>
      <c r="L247" t="s">
        <v>40</v>
      </c>
      <c r="M247">
        <v>36.999999998</v>
      </c>
      <c r="N247">
        <v>0</v>
      </c>
      <c r="O247">
        <v>85.000000020000002</v>
      </c>
      <c r="P247">
        <v>0</v>
      </c>
      <c r="Q247">
        <v>0</v>
      </c>
      <c r="R247">
        <v>122.000000005</v>
      </c>
      <c r="S247" t="s">
        <v>113</v>
      </c>
      <c r="T247" t="s">
        <v>119</v>
      </c>
      <c r="U247">
        <v>10000064</v>
      </c>
      <c r="Y247" t="s">
        <v>142</v>
      </c>
      <c r="AC247" t="s">
        <v>143</v>
      </c>
    </row>
    <row r="248" spans="1:29" x14ac:dyDescent="0.45">
      <c r="A248" t="s">
        <v>26</v>
      </c>
      <c r="B248">
        <v>151458298</v>
      </c>
      <c r="C248">
        <v>10000064</v>
      </c>
      <c r="D248" t="s">
        <v>27</v>
      </c>
      <c r="E248" t="s">
        <v>28</v>
      </c>
      <c r="F248">
        <v>346072</v>
      </c>
      <c r="G248">
        <v>5521579787</v>
      </c>
      <c r="H248">
        <v>24254941</v>
      </c>
      <c r="I248" t="s">
        <v>29</v>
      </c>
      <c r="K248" t="s">
        <v>30</v>
      </c>
      <c r="L248" t="s">
        <v>42</v>
      </c>
      <c r="M248">
        <v>36.999999998</v>
      </c>
      <c r="N248">
        <v>0</v>
      </c>
      <c r="O248">
        <v>0</v>
      </c>
      <c r="P248">
        <v>0</v>
      </c>
      <c r="Q248">
        <v>0</v>
      </c>
      <c r="R248">
        <v>36.999999998</v>
      </c>
      <c r="S248" t="s">
        <v>120</v>
      </c>
      <c r="T248" t="s">
        <v>111</v>
      </c>
      <c r="U248">
        <v>10000064</v>
      </c>
      <c r="Y248" t="s">
        <v>142</v>
      </c>
      <c r="AC248" t="s">
        <v>143</v>
      </c>
    </row>
    <row r="249" spans="1:29" x14ac:dyDescent="0.45">
      <c r="A249" t="s">
        <v>26</v>
      </c>
      <c r="B249">
        <v>151507530</v>
      </c>
      <c r="C249">
        <v>10000064</v>
      </c>
      <c r="D249" t="s">
        <v>27</v>
      </c>
      <c r="E249" t="s">
        <v>28</v>
      </c>
      <c r="F249">
        <v>348485</v>
      </c>
      <c r="G249">
        <v>5555558906</v>
      </c>
      <c r="H249">
        <v>25179692</v>
      </c>
      <c r="I249" t="s">
        <v>29</v>
      </c>
      <c r="K249" t="s">
        <v>30</v>
      </c>
      <c r="L249" t="s">
        <v>42</v>
      </c>
      <c r="M249">
        <v>187.000000005</v>
      </c>
      <c r="N249">
        <v>0</v>
      </c>
      <c r="O249">
        <v>0</v>
      </c>
      <c r="P249">
        <v>0</v>
      </c>
      <c r="Q249">
        <v>0</v>
      </c>
      <c r="R249">
        <v>187.000000005</v>
      </c>
      <c r="S249" t="s">
        <v>110</v>
      </c>
      <c r="T249" t="s">
        <v>38</v>
      </c>
      <c r="U249">
        <v>10000064</v>
      </c>
      <c r="Y249" t="s">
        <v>142</v>
      </c>
      <c r="AC249" t="s">
        <v>143</v>
      </c>
    </row>
    <row r="250" spans="1:29" x14ac:dyDescent="0.45">
      <c r="A250" t="s">
        <v>26</v>
      </c>
      <c r="B250">
        <v>151460691</v>
      </c>
      <c r="C250">
        <v>10000064</v>
      </c>
      <c r="D250" t="s">
        <v>27</v>
      </c>
      <c r="E250" t="s">
        <v>28</v>
      </c>
      <c r="F250">
        <v>346072</v>
      </c>
      <c r="G250">
        <v>5595011101</v>
      </c>
      <c r="H250">
        <v>24300518</v>
      </c>
      <c r="I250" t="s">
        <v>29</v>
      </c>
      <c r="K250" t="s">
        <v>30</v>
      </c>
      <c r="L250" t="s">
        <v>40</v>
      </c>
      <c r="M250">
        <v>36.999999998</v>
      </c>
      <c r="N250">
        <v>0</v>
      </c>
      <c r="O250">
        <v>85.000000020000002</v>
      </c>
      <c r="P250">
        <v>0</v>
      </c>
      <c r="Q250">
        <v>0</v>
      </c>
      <c r="R250">
        <v>122.000000005</v>
      </c>
      <c r="S250" t="s">
        <v>110</v>
      </c>
      <c r="T250" t="s">
        <v>119</v>
      </c>
      <c r="U250">
        <v>10000064</v>
      </c>
      <c r="Y250" t="s">
        <v>142</v>
      </c>
      <c r="AC250" t="s">
        <v>143</v>
      </c>
    </row>
    <row r="251" spans="1:29" x14ac:dyDescent="0.45">
      <c r="A251" t="s">
        <v>26</v>
      </c>
      <c r="B251">
        <v>151460739</v>
      </c>
      <c r="C251">
        <v>10000064</v>
      </c>
      <c r="D251" t="s">
        <v>27</v>
      </c>
      <c r="E251" t="s">
        <v>28</v>
      </c>
      <c r="F251">
        <v>346072</v>
      </c>
      <c r="G251">
        <v>5527910658</v>
      </c>
      <c r="H251">
        <v>24472161</v>
      </c>
      <c r="I251" t="s">
        <v>29</v>
      </c>
      <c r="K251" t="s">
        <v>30</v>
      </c>
      <c r="L251" t="s">
        <v>47</v>
      </c>
      <c r="M251">
        <v>36.999999998</v>
      </c>
      <c r="N251">
        <v>0</v>
      </c>
      <c r="O251">
        <v>0</v>
      </c>
      <c r="P251">
        <v>0</v>
      </c>
      <c r="Q251">
        <v>0</v>
      </c>
      <c r="R251">
        <v>36.999999998</v>
      </c>
      <c r="S251" t="s">
        <v>113</v>
      </c>
      <c r="T251" t="s">
        <v>111</v>
      </c>
      <c r="U251">
        <v>10000064</v>
      </c>
      <c r="Y251" t="s">
        <v>142</v>
      </c>
      <c r="AC251" t="s">
        <v>143</v>
      </c>
    </row>
    <row r="252" spans="1:29" x14ac:dyDescent="0.45">
      <c r="A252" t="s">
        <v>26</v>
      </c>
      <c r="B252">
        <v>151460750</v>
      </c>
      <c r="C252">
        <v>10001013</v>
      </c>
      <c r="D252" t="s">
        <v>27</v>
      </c>
      <c r="E252" t="s">
        <v>28</v>
      </c>
      <c r="F252">
        <v>348467</v>
      </c>
      <c r="G252">
        <v>5556535203</v>
      </c>
      <c r="H252">
        <v>24292780</v>
      </c>
      <c r="I252" t="s">
        <v>29</v>
      </c>
      <c r="K252" t="s">
        <v>30</v>
      </c>
      <c r="L252" t="s">
        <v>42</v>
      </c>
      <c r="M252">
        <v>36.999999998</v>
      </c>
      <c r="N252">
        <v>0</v>
      </c>
      <c r="O252">
        <v>0</v>
      </c>
      <c r="P252">
        <v>0</v>
      </c>
      <c r="Q252">
        <v>0</v>
      </c>
      <c r="R252">
        <v>36.999999998</v>
      </c>
      <c r="S252" t="s">
        <v>115</v>
      </c>
      <c r="T252" t="s">
        <v>111</v>
      </c>
      <c r="U252">
        <v>10001013</v>
      </c>
      <c r="Y252" t="s">
        <v>142</v>
      </c>
      <c r="AC252" t="s">
        <v>143</v>
      </c>
    </row>
    <row r="253" spans="1:29" x14ac:dyDescent="0.45">
      <c r="A253" t="s">
        <v>26</v>
      </c>
      <c r="B253">
        <v>151460807</v>
      </c>
      <c r="C253">
        <v>10000064</v>
      </c>
      <c r="D253" t="s">
        <v>27</v>
      </c>
      <c r="E253" t="s">
        <v>28</v>
      </c>
      <c r="F253">
        <v>346072</v>
      </c>
      <c r="G253">
        <v>5557034023</v>
      </c>
      <c r="H253">
        <v>24521664</v>
      </c>
      <c r="I253" t="s">
        <v>29</v>
      </c>
      <c r="K253" t="s">
        <v>30</v>
      </c>
      <c r="L253" t="s">
        <v>40</v>
      </c>
      <c r="M253">
        <v>36.999999998</v>
      </c>
      <c r="N253">
        <v>0</v>
      </c>
      <c r="O253">
        <v>0</v>
      </c>
      <c r="P253">
        <v>0</v>
      </c>
      <c r="Q253">
        <v>0</v>
      </c>
      <c r="R253">
        <v>36.999999998</v>
      </c>
      <c r="S253" t="s">
        <v>110</v>
      </c>
      <c r="T253" t="s">
        <v>111</v>
      </c>
      <c r="U253">
        <v>10000064</v>
      </c>
      <c r="Y253" t="s">
        <v>142</v>
      </c>
      <c r="AC253" t="s">
        <v>143</v>
      </c>
    </row>
    <row r="254" spans="1:29" x14ac:dyDescent="0.45">
      <c r="A254" t="s">
        <v>26</v>
      </c>
      <c r="B254">
        <v>151462717</v>
      </c>
      <c r="C254">
        <v>10000064</v>
      </c>
      <c r="D254" t="s">
        <v>27</v>
      </c>
      <c r="E254" t="s">
        <v>28</v>
      </c>
      <c r="F254">
        <v>346072</v>
      </c>
      <c r="G254">
        <v>5517134436</v>
      </c>
      <c r="H254">
        <v>24498639</v>
      </c>
      <c r="I254" t="s">
        <v>29</v>
      </c>
      <c r="K254" t="s">
        <v>30</v>
      </c>
      <c r="L254" t="s">
        <v>40</v>
      </c>
      <c r="M254">
        <v>36.999999998</v>
      </c>
      <c r="N254">
        <v>0</v>
      </c>
      <c r="O254">
        <v>0</v>
      </c>
      <c r="P254">
        <v>0</v>
      </c>
      <c r="Q254">
        <v>0</v>
      </c>
      <c r="R254">
        <v>36.999999998</v>
      </c>
      <c r="S254" t="s">
        <v>110</v>
      </c>
      <c r="T254" t="s">
        <v>111</v>
      </c>
      <c r="U254">
        <v>10000064</v>
      </c>
      <c r="Y254" t="s">
        <v>142</v>
      </c>
      <c r="AC254" t="s">
        <v>143</v>
      </c>
    </row>
    <row r="255" spans="1:29" x14ac:dyDescent="0.45">
      <c r="A255" t="s">
        <v>26</v>
      </c>
      <c r="B255">
        <v>151462743</v>
      </c>
      <c r="C255">
        <v>10000064</v>
      </c>
      <c r="D255" t="s">
        <v>27</v>
      </c>
      <c r="E255" t="s">
        <v>28</v>
      </c>
      <c r="F255">
        <v>346072</v>
      </c>
      <c r="G255">
        <v>5517134240</v>
      </c>
      <c r="H255">
        <v>24343482</v>
      </c>
      <c r="I255" t="s">
        <v>29</v>
      </c>
      <c r="K255" t="s">
        <v>30</v>
      </c>
      <c r="L255" t="s">
        <v>40</v>
      </c>
      <c r="M255">
        <v>36.999999998</v>
      </c>
      <c r="N255">
        <v>0</v>
      </c>
      <c r="O255">
        <v>0</v>
      </c>
      <c r="P255">
        <v>0</v>
      </c>
      <c r="Q255">
        <v>0</v>
      </c>
      <c r="R255">
        <v>36.999999998</v>
      </c>
      <c r="S255" t="s">
        <v>113</v>
      </c>
      <c r="T255" t="s">
        <v>111</v>
      </c>
      <c r="U255">
        <v>10000064</v>
      </c>
      <c r="Y255" t="s">
        <v>142</v>
      </c>
      <c r="AC255" t="s">
        <v>143</v>
      </c>
    </row>
    <row r="256" spans="1:29" x14ac:dyDescent="0.45">
      <c r="A256" t="s">
        <v>26</v>
      </c>
      <c r="B256">
        <v>151462818</v>
      </c>
      <c r="C256">
        <v>10000064</v>
      </c>
      <c r="D256" t="s">
        <v>27</v>
      </c>
      <c r="E256" t="s">
        <v>28</v>
      </c>
      <c r="F256">
        <v>348485</v>
      </c>
      <c r="G256">
        <v>5555485974</v>
      </c>
      <c r="H256">
        <v>24338358</v>
      </c>
      <c r="I256" t="s">
        <v>29</v>
      </c>
      <c r="K256" t="s">
        <v>30</v>
      </c>
      <c r="L256" t="s">
        <v>42</v>
      </c>
      <c r="M256">
        <v>36.999999998</v>
      </c>
      <c r="N256">
        <v>0</v>
      </c>
      <c r="O256">
        <v>0</v>
      </c>
      <c r="P256">
        <v>0</v>
      </c>
      <c r="Q256">
        <v>0</v>
      </c>
      <c r="R256">
        <v>36.999999998</v>
      </c>
      <c r="S256" t="s">
        <v>110</v>
      </c>
      <c r="T256" t="s">
        <v>111</v>
      </c>
      <c r="U256">
        <v>10000064</v>
      </c>
      <c r="Y256" t="s">
        <v>142</v>
      </c>
      <c r="AC256" t="s">
        <v>143</v>
      </c>
    </row>
    <row r="257" spans="1:29" x14ac:dyDescent="0.45">
      <c r="A257" t="s">
        <v>26</v>
      </c>
      <c r="B257">
        <v>151462935</v>
      </c>
      <c r="C257">
        <v>10001013</v>
      </c>
      <c r="D257" t="s">
        <v>27</v>
      </c>
      <c r="E257" t="s">
        <v>28</v>
      </c>
      <c r="F257">
        <v>353923</v>
      </c>
      <c r="G257">
        <v>5556955318</v>
      </c>
      <c r="H257">
        <v>24337685</v>
      </c>
      <c r="I257" t="s">
        <v>29</v>
      </c>
      <c r="K257" t="s">
        <v>30</v>
      </c>
      <c r="L257" t="s">
        <v>39</v>
      </c>
      <c r="M257">
        <v>36.999999998</v>
      </c>
      <c r="N257">
        <v>0</v>
      </c>
      <c r="O257">
        <v>0</v>
      </c>
      <c r="P257">
        <v>0</v>
      </c>
      <c r="Q257">
        <v>0</v>
      </c>
      <c r="R257">
        <v>36.999999998</v>
      </c>
      <c r="S257" t="s">
        <v>121</v>
      </c>
      <c r="T257" t="s">
        <v>111</v>
      </c>
      <c r="U257">
        <v>10001013</v>
      </c>
      <c r="Y257" t="s">
        <v>142</v>
      </c>
      <c r="AC257" t="s">
        <v>143</v>
      </c>
    </row>
    <row r="258" spans="1:29" x14ac:dyDescent="0.45">
      <c r="A258" t="s">
        <v>26</v>
      </c>
      <c r="B258">
        <v>151462960</v>
      </c>
      <c r="C258">
        <v>10001013</v>
      </c>
      <c r="D258" t="s">
        <v>27</v>
      </c>
      <c r="E258" t="s">
        <v>28</v>
      </c>
      <c r="F258">
        <v>353923</v>
      </c>
      <c r="G258">
        <v>5596432717</v>
      </c>
      <c r="H258">
        <v>24343153</v>
      </c>
      <c r="I258" t="s">
        <v>29</v>
      </c>
      <c r="K258" t="s">
        <v>30</v>
      </c>
      <c r="L258" t="s">
        <v>47</v>
      </c>
      <c r="M258">
        <v>36.999999998</v>
      </c>
      <c r="N258">
        <v>0</v>
      </c>
      <c r="O258">
        <v>0</v>
      </c>
      <c r="P258">
        <v>0</v>
      </c>
      <c r="Q258">
        <v>0</v>
      </c>
      <c r="R258">
        <v>36.999999998</v>
      </c>
      <c r="S258" t="s">
        <v>110</v>
      </c>
      <c r="T258" t="s">
        <v>111</v>
      </c>
      <c r="U258">
        <v>10001013</v>
      </c>
      <c r="Y258" t="s">
        <v>142</v>
      </c>
      <c r="AC258" t="s">
        <v>143</v>
      </c>
    </row>
    <row r="259" spans="1:29" x14ac:dyDescent="0.45">
      <c r="A259" t="s">
        <v>26</v>
      </c>
      <c r="B259">
        <v>151465310</v>
      </c>
      <c r="C259">
        <v>10000064</v>
      </c>
      <c r="D259" t="s">
        <v>27</v>
      </c>
      <c r="E259" t="s">
        <v>28</v>
      </c>
      <c r="F259">
        <v>346072</v>
      </c>
      <c r="G259">
        <v>5557727376</v>
      </c>
      <c r="H259">
        <v>24498715</v>
      </c>
      <c r="I259" t="s">
        <v>29</v>
      </c>
      <c r="K259" t="s">
        <v>30</v>
      </c>
      <c r="L259" t="s">
        <v>40</v>
      </c>
      <c r="M259">
        <v>36.999999998</v>
      </c>
      <c r="N259">
        <v>0</v>
      </c>
      <c r="O259">
        <v>0</v>
      </c>
      <c r="P259">
        <v>0</v>
      </c>
      <c r="Q259">
        <v>0</v>
      </c>
      <c r="R259">
        <v>36.999999998</v>
      </c>
      <c r="S259" t="s">
        <v>110</v>
      </c>
      <c r="T259" t="s">
        <v>111</v>
      </c>
      <c r="U259">
        <v>10000064</v>
      </c>
      <c r="Y259" t="s">
        <v>142</v>
      </c>
      <c r="AC259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Hoja3</vt:lpstr>
      <vt:lpstr>Hoja2</vt:lpstr>
      <vt:lpstr>Servicios_Promotores</vt:lpstr>
      <vt:lpstr>Pago_GERE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David Lovera Juarez</cp:lastModifiedBy>
  <dcterms:created xsi:type="dcterms:W3CDTF">2026-05-28T02:31:34Z</dcterms:created>
  <dcterms:modified xsi:type="dcterms:W3CDTF">2026-05-28T05:33:01Z</dcterms:modified>
</cp:coreProperties>
</file>